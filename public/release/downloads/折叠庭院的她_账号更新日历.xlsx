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18fcd3ad8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总览" sheetId="1" r:id="R95f9f8d116224db5"/>
    <x:sheet xmlns:r="http://schemas.openxmlformats.org/officeDocument/2006/relationships" name="发布排期" sheetId="2" r:id="R899cc04227224c49"/>
    <x:sheet xmlns:r="http://schemas.openxmlformats.org/officeDocument/2006/relationships" name="账号分工" sheetId="3" r:id="R6693dd50bb1a43bb"/>
    <x:sheet xmlns:r="http://schemas.openxmlformats.org/officeDocument/2006/relationships" name="物料依据" sheetId="4" r:id="Rdb55c85b0bc1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m&quot;月&quot;d&quot;日&quot;"/>
  </x:numFmts>
  <x:fonts count="5">
    <x:font>
      <x:sz val="11"/>
      <x:name val="Carlito"/>
    </x:font>
    <x:font>
      <x:sz val="11"/>
      <x:color rgb="FF203B31"/>
      <x:name val="Arial"/>
    </x:font>
    <x:font>
      <x:b/>
      <x:sz val="17"/>
      <x:color rgb="FF244E40"/>
      <x:name val="Arial"/>
    </x:font>
    <x:font>
      <x:b/>
      <x:sz val="11"/>
      <x:color rgb="FFFFFFFF"/>
      <x:name val="Arial"/>
    </x:font>
    <x:font>
      <x:b/>
      <x:sz val="11"/>
      <x:color rgb="FF244E4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2EC"/>
      </x:patternFill>
    </x:fill>
    <x:fill>
      <x:patternFill patternType="solid">
        <x:fgColor rgb="FFFFFFFF"/>
      </x:patternFill>
    </x:fill>
    <x:fill>
      <x:patternFill patternType="solid">
        <x:fgColor rgb="FF244E40"/>
      </x:patternFill>
    </x:fill>
    <x:fill>
      <x:patternFill patternType="solid">
        <x:fgColor rgb="FFFFF2CD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horizontal="center" vertical="center" wrapText="1"/>
    </x:xf>
    <x:xf numFmtId="202" fontId="4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DEEB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4f3cb47e34e47" /><Relationship Type="http://schemas.openxmlformats.org/officeDocument/2006/relationships/theme" Target="/xl/theme/theme1.xml" Id="R1fb4a1191c0b4b5d" /><Relationship Type="http://schemas.openxmlformats.org/officeDocument/2006/relationships/sharedStrings" Target="/xl/sharedStrings.xml" Id="Re5ea257dc1d24678" /><Relationship Type="http://schemas.openxmlformats.org/officeDocument/2006/relationships/worksheet" Target="/xl/worksheets/sheet1.xml" Id="R95f9f8d116224db5" /><Relationship Type="http://schemas.openxmlformats.org/officeDocument/2006/relationships/worksheet" Target="/xl/worksheets/sheet2.xml" Id="R899cc04227224c49" /><Relationship Type="http://schemas.openxmlformats.org/officeDocument/2006/relationships/worksheet" Target="/xl/worksheets/sheet3.xml" Id="R6693dd50bb1a43bb" /><Relationship Type="http://schemas.openxmlformats.org/officeDocument/2006/relationships/worksheet" Target="/xl/worksheets/sheet4.xml" Id="Rdb55c85b0bc1485f" /></Relationships>
</file>

<file path=xl/tables/table1.xml><?xml version="1.0" encoding="utf-8"?>
<x:table xmlns:x="http://schemas.openxmlformats.org/spreadsheetml/2006/main" id="2" name="DailyCalendar" displayName="DailyCalendar" ref="A7:K35" headerRowCount="1" totalsRowCount="0" totalsRowShown="0">
  <x:autoFilter ref="A7:K35"/>
  <x:tableColumns count="11">
    <x:tableColumn id="1" name="日期"/>
    <x:tableColumn id="2" name="方舟AI"/>
    <x:tableColumn id="3" name="方舟智创"/>
    <x:tableColumn id="4" name="yoyo矩阵号"/>
    <x:tableColumn id="5" name="yoyo真人小号"/>
    <x:tableColumn id="6" name="yoyo大号"/>
    <x:tableColumn id="7" name="陆文川账号（未申请）"/>
    <x:tableColumn id="8" name="郑允书"/>
    <x:tableColumn id="9" name="yoyo虚拟人号"/>
    <x:tableColumn id="10" name="营销号"/>
    <x:tableColumn id="11" name="切片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ublishingSchedule" displayName="PublishingSchedule" ref="A7:O153" headerRowCount="1" totalsRowCount="0" totalsRowShown="0">
  <x:autoFilter ref="A7:O153"/>
  <x:tableColumns count="15">
    <x:tableColumn id="1" name="日期"/>
    <x:tableColumn id="2" name="账号"/>
    <x:tableColumn id="3" name="当天做什么"/>
    <x:tableColumn id="4" name="内容 / 工作"/>
    <x:tableColumn id="5" name="具体怎么做"/>
    <x:tableColumn id="6" name="账号接力"/>
    <x:tableColumn id="7" name="发布前条件"/>
    <x:tableColumn id="8" name="物料编号"/>
    <x:tableColumn id="9" name="执行状态"/>
    <x:tableColumn id="10" name="负责人"/>
    <x:tableColumn id="11" name="具体时刻"/>
    <x:tableColumn id="12" name="实际发布链接"/>
    <x:tableColumn id="13" name="执行备注"/>
    <x:tableColumn id="14" name="数量建议"/>
    <x:tableColumn id="15" name="会议依据 / 排期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ountAssignments" displayName="AccountAssignments" ref="A7:G17" headerRowCount="1" totalsRowCount="0" totalsRowShown="0">
  <x:autoFilter ref="A7:G17"/>
  <x:tableColumns count="7">
    <x:tableColumn id="1" name="账号"/>
    <x:tableColumn id="2" name="职责"/>
    <x:tableColumn id="3" name="发什么 / 如何启用"/>
    <x:tableColumn id="4" name="账号链接 / ID"/>
    <x:tableColumn id="5" name="运营负责人"/>
    <x:tableColumn id="6" name="交接状态"/>
    <x:tableColumn id="7" name="日程任务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Evidence" displayName="MaterialEvidence" ref="A7:I62" headerRowCount="1" totalsRowCount="0" totalsRowShown="0">
  <x:autoFilter ref="A7:I62"/>
  <x:tableColumns count="9">
    <x:tableColumn id="1" name="编号"/>
    <x:tableColumn id="2" name="物料方向"/>
    <x:tableColumn id="3" name="会议状态"/>
    <x:tableColumn id="4" name="具体内容"/>
    <x:tableColumn id="5" name="采集准备"/>
    <x:tableColumn id="6" name="适配阶段"/>
    <x:tableColumn id="7" name="未定条件"/>
    <x:tableColumn id="8" name="会议定位"/>
    <x:tableColumn id="9" name="本轮日期 / 账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cb676e660f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a1e34f82e6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6d179decb843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794f6f1f2c4d7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9 月 18 日 - 10 月 15 日 · 每日账号安排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 t="str">
        <x:v>28 个实际日期，10 类账号。发布 / 直播是对外更新，筹备是当天工作，不更是不新增剧宣。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10/10 首播、10/15 第二集为筹备目标。总览联动明细的内容与取消状态；改期请在明细备注中记录。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日期</x:v>
      </x:c>
      <x:c r="B7" s="9" t="str">
        <x:v>方舟AI</x:v>
      </x:c>
      <x:c r="C7" s="9" t="str">
        <x:v>方舟智创</x:v>
      </x:c>
      <x:c r="D7" s="9" t="str">
        <x:v>yoyo矩阵号</x:v>
      </x:c>
      <x:c r="E7" s="9" t="str">
        <x:v>yoyo真人小号</x:v>
      </x:c>
      <x:c r="F7" s="9" t="str">
        <x:v>yoyo大号</x:v>
      </x:c>
      <x:c r="G7" s="9" t="str">
        <x:v>陆文川账号（未申请）</x:v>
      </x:c>
      <x:c r="H7" s="9" t="str">
        <x:v>郑允书</x:v>
      </x:c>
      <x:c r="I7" s="9" t="str">
        <x:v>yoyo虚拟人号</x:v>
      </x:c>
      <x:c r="J7" s="9" t="str">
        <x:v>营销号</x:v>
      </x:c>
      <x:c r="K7" s="9" t="str">
        <x:v>切片号</x:v>
      </x:c>
    </x:row>
    <x:row r="8" ht="88" customHeight="1">
      <x:c r="A8" s="28" t="n">
        <x:v>46283</x:v>
      </x:c>
      <x:c r="B8" s="15" t="str">
        <x:f>IF('发布排期'!I8="取消","取消",'发布排期'!C8)&amp;CHAR(10)&amp;'发布排期'!D8</x:f>
        <x:v>筹备
整理真实制作记录</x:v>
      </x:c>
      <x:c r="C8" s="15" t="str">
        <x:f>IF('发布排期'!I9="取消","取消",'发布排期'!C9)&amp;CHAR(10)&amp;'发布排期'!D9</x:f>
        <x:v>筹备
核对全账号与正片承接号</x:v>
      </x:c>
      <x:c r="D8" s="15" t="str">
        <x:f>IF('发布排期'!I10="取消","取消",'发布排期'!C10)&amp;CHAR(10)&amp;'发布排期'!D10</x:f>
        <x:v>筹备
列出矩阵号，逐个筛选</x:v>
      </x:c>
      <x:c r="E8" s="15" t="str">
        <x:f>IF('发布排期'!I11="取消","取消",'发布排期'!C11)&amp;CHAR(10)&amp;'发布排期'!D11</x:f>
        <x:v>发布
真人介绍：这是我的数字分身</x:v>
      </x:c>
      <x:c r="F8" s="15" t="str">
        <x:f>IF('发布排期'!I12="取消","取消",'发布排期'!C12)&amp;CHAR(10)&amp;'发布排期'!D12</x:f>
        <x:v>筹备
给 Yoyo 看分身介绍样片</x:v>
      </x:c>
      <x:c r="G8" s="15" t="str">
        <x:f>IF('发布排期'!I13="取消","取消",'发布排期'!C13)&amp;CHAR(10)&amp;'发布排期'!D13</x:f>
        <x:v>筹备
申请陆文川账号</x:v>
      </x:c>
      <x:c r="H8" s="15" t="str">
        <x:f>IF('发布排期'!I14="取消","取消",'发布排期'!C14)&amp;CHAR(10)&amp;'发布排期'!D14</x:f>
        <x:v>筹备
核准郑允书账号与素材</x:v>
      </x:c>
      <x:c r="I8" s="15" t="str">
        <x:f>IF('发布排期'!I15="取消","取消",'发布排期'!C15)&amp;CHAR(10)&amp;'发布排期'!D15</x:f>
        <x:v>发布
分身的第一天</x:v>
      </x:c>
      <x:c r="J8" s="15" t="str">
        <x:f>IF('发布排期'!I16="取消","取消",'发布排期'!C16)&amp;CHAR(10)&amp;'发布排期'!D16</x:f>
        <x:v>筹备
从《被裁掉的女孩》切片号开始建池</x:v>
      </x:c>
      <x:c r="K8" s="15" t="str">
        <x:f>IF('发布排期'!I17="取消","取消",'发布排期'!C17)&amp;CHAR(10)&amp;'发布排期'!D17</x:f>
        <x:v>筹备
拿到真人直播切片账号资源</x:v>
      </x:c>
    </x:row>
    <x:row r="9" ht="88" customHeight="1">
      <x:c r="A9" s="29" t="n">
        <x:v>46284</x:v>
      </x:c>
      <x:c r="B9" s="18" t="str">
        <x:v>不更
今天不新增剧宣</x:v>
      </x:c>
      <x:c r="C9" s="18" t="str">
        <x:v>不更
今天不新增剧宣</x:v>
      </x:c>
      <x:c r="D9" s="18" t="str">
        <x:v>不更
今天不新增剧宣</x:v>
      </x:c>
      <x:c r="E9" s="18" t="str">
        <x:v>不更
今天不新增剧宣</x:v>
      </x:c>
      <x:c r="F9" s="18" t="str">
        <x:v>不更
今天不新增剧宣</x:v>
      </x:c>
      <x:c r="G9" s="18" t="str">
        <x:f>IF('发布排期'!I18="取消","取消",'发布排期'!C18)&amp;CHAR(10)&amp;'发布排期'!D18</x:f>
        <x:v>筹备
完善主页与角色资料</x:v>
      </x:c>
      <x:c r="H9" s="18" t="str">
        <x:v>不更
今天不新增剧宣</x:v>
      </x:c>
      <x:c r="I9" s="18" t="str">
        <x:f>IF('发布排期'!I19="取消","取消",'发布排期'!C19)&amp;CHAR(10)&amp;'发布排期'!D19</x:f>
        <x:v>发布
今日穿搭：一个完整造型</x:v>
      </x:c>
      <x:c r="J9" s="18" t="str">
        <x:f>IF('发布排期'!I20="取消","取消",'发布排期'!C20)&amp;CHAR(10)&amp;'发布排期'!D20</x:f>
        <x:v>筹备
记录账号的剪法和表现</x:v>
      </x:c>
      <x:c r="K9" s="18" t="str">
        <x:v>不更
今天不新增剧宣</x:v>
      </x:c>
    </x:row>
    <x:row r="10" ht="88" customHeight="1">
      <x:c r="A10" s="28" t="n">
        <x:v>46285</x:v>
      </x:c>
      <x:c r="B10" s="15" t="str">
        <x:f>IF('发布排期'!I21="取消","取消",'发布排期'!C21)&amp;CHAR(10)&amp;'发布排期'!D21</x:f>
        <x:v>筹备
剪第一条制作幕后</x:v>
      </x:c>
      <x:c r="C10" s="15" t="str">
        <x:v>不更
今天不新增剧宣</x:v>
      </x:c>
      <x:c r="D10" s="15" t="str">
        <x:v>不更
今天不新增剧宣</x:v>
      </x:c>
      <x:c r="E10" s="15" t="str">
        <x:f>IF('发布排期'!I22="取消","取消",'发布排期'!C22)&amp;CHAR(10)&amp;'发布排期'!D22</x:f>
        <x:v>筹备
审“制片人的一天”初剪</x:v>
      </x:c>
      <x:c r="F10" s="15" t="str">
        <x:v>不更
今天不新增剧宣</x:v>
      </x:c>
      <x:c r="G10" s="15" t="str">
        <x:v>不更
今天不新增剧宣</x:v>
      </x:c>
      <x:c r="H10" s="15" t="str">
        <x:v>不更
今天不新增剧宣</x:v>
      </x:c>
      <x:c r="I10" s="15" t="str">
        <x:f>IF('发布排期'!I23="取消","取消",'发布排期'!C23)&amp;CHAR(10)&amp;'发布排期'!D23</x:f>
        <x:v>发布
一个安静的生活瞬间</x:v>
      </x:c>
      <x:c r="J10" s="15" t="str">
        <x:f>IF('发布排期'!I24="取消","取消",'发布排期'!C24)&amp;CHAR(10)&amp;'发布排期'!D24</x:f>
        <x:v>筹备
首批 100 个候选摸底</x:v>
      </x:c>
      <x:c r="K10" s="15" t="str">
        <x:v>不更
今天不新增剧宣</x:v>
      </x:c>
    </x:row>
    <x:row r="11" ht="88" customHeight="1">
      <x:c r="A11" s="29" t="n">
        <x:v>46286</x:v>
      </x:c>
      <x:c r="B11" s="18" t="str">
        <x:v>不更
今天不新增剧宣</x:v>
      </x:c>
      <x:c r="C11" s="18" t="str">
        <x:f>IF('发布排期'!I25="取消","取消",'发布排期'!C25)&amp;CHAR(10)&amp;'发布排期'!D25</x:f>
        <x:v>筹备
收首宣、预告及日历初版</x:v>
      </x:c>
      <x:c r="D11" s="18" t="str">
        <x:f>IF('发布排期'!I26="取消","取消",'发布排期'!C26)&amp;CHAR(10)&amp;'发布排期'!D26</x:f>
        <x:v>筹备
确定第一批适配账号</x:v>
      </x:c>
      <x:c r="E11" s="18" t="str">
        <x:f>IF('发布排期'!I27="取消","取消",'发布排期'!C27)&amp;CHAR(10)&amp;'发布排期'!D27</x:f>
        <x:v>发布
制片人的一天：选装与空间</x:v>
      </x:c>
      <x:c r="F11" s="18" t="str">
        <x:v>不更
今天不新增剧宣</x:v>
      </x:c>
      <x:c r="G11" s="18" t="str">
        <x:f>IF('发布排期'!I28="取消","取消",'发布排期'!C28)&amp;CHAR(10)&amp;'发布排期'!D28</x:f>
        <x:v>筹备
交接登录与运营人</x:v>
      </x:c>
      <x:c r="H11" s="18" t="str">
        <x:v>不更
今天不新增剧宣</x:v>
      </x:c>
      <x:c r="I11" s="18" t="str">
        <x:f>IF('发布排期'!I29="取消","取消",'发布排期'!C29)&amp;CHAR(10)&amp;'发布排期'!D29</x:f>
        <x:v>发布
第一次走进庭院</x:v>
      </x:c>
      <x:c r="J11" s="18" t="str">
        <x:f>IF('发布排期'!I30="取消","取消",'发布排期'!C30)&amp;CHAR(10)&amp;'发布排期'!D30</x:f>
        <x:v>筹备
统一报价询问口径</x:v>
      </x:c>
      <x:c r="K11" s="18" t="str">
        <x:f>IF('发布排期'!I31="取消","取消",'发布排期'!C31)&amp;CHAR(10)&amp;'发布排期'!D31</x:f>
        <x:v>筹备
确认他们需要哪类真人原料</x:v>
      </x:c>
    </x:row>
    <x:row r="12" ht="88" customHeight="1">
      <x:c r="A12" s="28" t="n">
        <x:v>46287</x:v>
      </x:c>
      <x:c r="B12" s="15" t="str">
        <x:f>IF('发布排期'!I32="取消","取消",'发布排期'!C32)&amp;CHAR(10)&amp;'发布排期'!D32</x:f>
        <x:v>发布
发布选装效果的制作过程</x:v>
      </x:c>
      <x:c r="C12" s="15" t="str">
        <x:v>不更
今天不新增剧宣</x:v>
      </x:c>
      <x:c r="D12" s="15" t="str">
        <x:v>不更
今天不新增剧宣</x:v>
      </x:c>
      <x:c r="E12" s="15" t="str">
        <x:v>不更
今天不新增剧宣</x:v>
      </x:c>
      <x:c r="F12" s="15" t="str">
        <x:v>不更
今天不新增剧宣</x:v>
      </x:c>
      <x:c r="G12" s="15" t="str">
        <x:v>不更
今天不新增剧宣</x:v>
      </x:c>
      <x:c r="H12" s="15" t="str">
        <x:f>IF('发布排期'!I33="取消","取消",'发布排期'!C33)&amp;CHAR(10)&amp;'发布排期'!D33</x:f>
        <x:v>发布
郑允书人物亮相</x:v>
      </x:c>
      <x:c r="I12" s="15" t="str">
        <x:f>IF('发布排期'!I34="取消","取消",'发布排期'!C34)&amp;CHAR(10)&amp;'发布排期'!D34</x:f>
        <x:v>发布
衣服怎样进入她的日常</x:v>
      </x:c>
      <x:c r="J12" s="15" t="str">
        <x:f>IF('发布排期'!I35="取消","取消",'发布排期'!C35)&amp;CHAR(10)&amp;'发布排期'!D35</x:f>
        <x:v>筹备
第一轮低价 BD</x:v>
      </x:c>
      <x:c r="K12" s="15" t="str">
        <x:v>不更
今天不新增剧宣</x:v>
      </x:c>
    </x:row>
    <x:row r="13" ht="88" customHeight="1">
      <x:c r="A13" s="29" t="n">
        <x:v>46288</x:v>
      </x:c>
      <x:c r="B13" s="18" t="str">
        <x:v>不更
今天不新增剧宣</x:v>
      </x:c>
      <x:c r="C13" s="18" t="str">
        <x:v>不更
今天不新增剧宣</x:v>
      </x:c>
      <x:c r="D13" s="18" t="str">
        <x:v>不更
今天不新增剧宣</x:v>
      </x:c>
      <x:c r="E13" s="18" t="str">
        <x:f>IF('发布排期'!I36="取消","取消",'发布排期'!C36)&amp;CHAR(10)&amp;'发布排期'!D36</x:f>
        <x:v>发布
真人动作，接到虚拟分身</x:v>
      </x:c>
      <x:c r="F13" s="18" t="str">
        <x:v>不更
今天不新增剧宣</x:v>
      </x:c>
      <x:c r="G13" s="18" t="str">
        <x:v>不更
今天不新增剧宣</x:v>
      </x:c>
      <x:c r="H13" s="18" t="str">
        <x:v>不更
今天不新增剧宣</x:v>
      </x:c>
      <x:c r="I13" s="18" t="str">
        <x:f>IF('发布排期'!I37="取消","取消",'发布排期'!C37)&amp;CHAR(10)&amp;'发布排期'!D37</x:f>
        <x:v>发布
转场之后，她的一天</x:v>
      </x:c>
      <x:c r="J13" s="18" t="str">
        <x:f>IF('发布排期'!I38="取消","取消",'发布排期'!C38)&amp;CHAR(10)&amp;'发布排期'!D38</x:f>
        <x:v>筹备
扩充并去重候选池</x:v>
      </x:c>
      <x:c r="K13" s="18" t="str">
        <x:v>不更
今天不新增剧宣</x:v>
      </x:c>
    </x:row>
    <x:row r="14" ht="88" customHeight="1">
      <x:c r="A14" s="28" t="n">
        <x:v>46289</x:v>
      </x:c>
      <x:c r="B14" s="15" t="str">
        <x:f>IF('发布排期'!I39="取消","取消",'发布排期'!C39)&amp;CHAR(10)&amp;'发布排期'!D39</x:f>
        <x:v>发布
这处空间是怎样做出来的</x:v>
      </x:c>
      <x:c r="C14" s="15" t="str">
        <x:v>不更
今天不新增剧宣</x:v>
      </x:c>
      <x:c r="D14" s="15" t="str">
        <x:f>IF('发布排期'!I40="取消","取消",'发布排期'!C40)&amp;CHAR(10)&amp;'发布排期'!D40</x:f>
        <x:v>发布
适配矩阵号试发一条穿搭</x:v>
      </x:c>
      <x:c r="E14" s="15" t="str">
        <x:v>不更
今天不新增剧宣</x:v>
      </x:c>
      <x:c r="F14" s="15" t="str">
        <x:v>不更
今天不新增剧宣</x:v>
      </x:c>
      <x:c r="G14" s="15" t="str">
        <x:f>IF('发布排期'!I41="取消","取消",'发布排期'!C41)&amp;CHAR(10)&amp;'发布排期'!D41</x:f>
        <x:v>筹备
完成第一条角色亮相样片</x:v>
      </x:c>
      <x:c r="H14" s="15" t="str">
        <x:v>不更
今天不新增剧宣</x:v>
      </x:c>
      <x:c r="I14" s="15" t="str">
        <x:f>IF('发布排期'!I42="取消","取消",'发布排期'!C42)&amp;CHAR(10)&amp;'发布排期'!D42</x:f>
        <x:v>发布
一处空间，一次停留</x:v>
      </x:c>
      <x:c r="J14" s="15" t="str">
        <x:f>IF('发布排期'!I43="取消","取消",'发布排期'!C43)&amp;CHAR(10)&amp;'发布排期'!D43</x:f>
        <x:v>筹备
看首批合作试剪</x:v>
      </x:c>
      <x:c r="K14" s="15" t="str">
        <x:v>不更
今天不新增剧宣</x:v>
      </x:c>
    </x:row>
    <x:row r="15" ht="88" customHeight="1">
      <x:c r="A15" s="29" t="n">
        <x:v>46290</x:v>
      </x:c>
      <x:c r="B15" s="18" t="str">
        <x:v>不更
今天不新增剧宣</x:v>
      </x:c>
      <x:c r="C15" s="18" t="str">
        <x:f>IF('发布排期'!I44="取消","取消",'发布排期'!C44)&amp;CHAR(10)&amp;'发布排期'!D44</x:f>
        <x:v>筹备
剪教堂先导和主预告</x:v>
      </x:c>
      <x:c r="D15" s="18" t="str">
        <x:v>不更
今天不新增剧宣</x:v>
      </x:c>
      <x:c r="E15" s="18" t="str">
        <x:v>不更
今天不新增剧宣</x:v>
      </x:c>
      <x:c r="F15" s="18" t="str">
        <x:v>不更
今天不新增剧宣</x:v>
      </x:c>
      <x:c r="G15" s="18" t="str">
        <x:v>不更
今天不新增剧宣</x:v>
      </x:c>
      <x:c r="H15" s="18" t="str">
        <x:v>不更
今天不新增剧宣</x:v>
      </x:c>
      <x:c r="I15" s="18" t="str">
        <x:f>IF('发布排期'!I45="取消","取消",'发布排期'!C45)&amp;CHAR(10)&amp;'发布排期'!D45</x:f>
        <x:v>发布
第二周的穿搭更新</x:v>
      </x:c>
      <x:c r="J15" s="18" t="str">
        <x:f>IF('发布排期'!I46="取消","取消",'发布排期'!C46)&amp;CHAR(10)&amp;'发布排期'!D46</x:f>
        <x:v>筹备
比较真实报价和试剪质量</x:v>
      </x:c>
      <x:c r="K15" s="18" t="str">
        <x:f>IF('发布排期'!I47="取消","取消",'发布排期'!C47)&amp;CHAR(10)&amp;'发布排期'!D47</x:f>
        <x:v>筹备
准备一次可剪的真人讲剧采集</x:v>
      </x:c>
    </x:row>
    <x:row r="16" ht="88" customHeight="1">
      <x:c r="A16" s="28" t="n">
        <x:v>46291</x:v>
      </x:c>
      <x:c r="B16" s="15" t="str">
        <x:f>IF('发布排期'!I48="取消","取消",'发布排期'!C48)&amp;CHAR(10)&amp;'发布排期'!D48</x:f>
        <x:v>发布
发布声音前后对照</x:v>
      </x:c>
      <x:c r="C16" s="15" t="str">
        <x:v>不更
今天不新增剧宣</x:v>
      </x:c>
      <x:c r="D16" s="15" t="str">
        <x:f>IF('发布排期'!I49="取消","取消",'发布排期'!C49)&amp;CHAR(10)&amp;'发布排期'!D49</x:f>
        <x:v>筹备
复盘试发，决定参与名单</x:v>
      </x:c>
      <x:c r="E16" s="15" t="str">
        <x:f>IF('发布排期'!I50="取消","取消",'发布排期'!C50)&amp;CHAR(10)&amp;'发布排期'!D50</x:f>
        <x:v>发布
真人答一问：为什么做分身</x:v>
      </x:c>
      <x:c r="F16" s="15" t="str">
        <x:v>不更
今天不新增剧宣</x:v>
      </x:c>
      <x:c r="G16" s="15" t="str">
        <x:v>不更
今天不新增剧宣</x:v>
      </x:c>
      <x:c r="H16" s="15" t="str">
        <x:v>不更
今天不新增剧宣</x:v>
      </x:c>
      <x:c r="I16" s="15" t="str">
        <x:f>IF('发布排期'!I51="取消","取消",'发布排期'!C51)&amp;CHAR(10)&amp;'发布排期'!D51</x:f>
        <x:v>发布
从观众留言延伸一个动作</x:v>
      </x:c>
      <x:c r="J16" s="15" t="str">
        <x:f>IF('发布排期'!I52="取消","取消",'发布排期'!C52)&amp;CHAR(10)&amp;'发布排期'!D52</x:f>
        <x:v>筹备
第二轮 BD 与批量谈价</x:v>
      </x:c>
      <x:c r="K16" s="15" t="str">
        <x:v>不更
今天不新增剧宣</x:v>
      </x:c>
    </x:row>
    <x:row r="17" ht="88" customHeight="1">
      <x:c r="A17" s="29" t="n">
        <x:v>46292</x:v>
      </x:c>
      <x:c r="B17" s="18" t="str">
        <x:v>不更
今天不新增剧宣</x:v>
      </x:c>
      <x:c r="C17" s="18" t="str">
        <x:v>不更
今天不新增剧宣</x:v>
      </x:c>
      <x:c r="D17" s="18" t="str">
        <x:v>不更
今天不新增剧宣</x:v>
      </x:c>
      <x:c r="E17" s="18" t="str">
        <x:f>IF('发布排期'!I53="取消","取消",'发布排期'!C53)&amp;CHAR(10)&amp;'发布排期'!D53</x:f>
        <x:v>筹备
录看片与修改过程</x:v>
      </x:c>
      <x:c r="F17" s="18" t="str">
        <x:v>不更
今天不新增剧宣</x:v>
      </x:c>
      <x:c r="G17" s="18" t="str">
        <x:f>IF('发布排期'!I54="取消","取消",'发布排期'!C54)&amp;CHAR(10)&amp;'发布排期'!D54</x:f>
        <x:v>筹备
验收账号和首发素材</x:v>
      </x:c>
      <x:c r="H17" s="18" t="str">
        <x:f>IF('发布排期'!I55="取消","取消",'发布排期'!C55)&amp;CHAR(10)&amp;'发布排期'!D55</x:f>
        <x:v>发布
郑允书的造型氛围</x:v>
      </x:c>
      <x:c r="I17" s="18" t="str">
        <x:f>IF('发布排期'!I56="取消","取消",'发布排期'!C56)&amp;CHAR(10)&amp;'发布排期'!D56</x:f>
        <x:v>发布
空间游历的第二站</x:v>
      </x:c>
      <x:c r="J17" s="18" t="str">
        <x:f>IF('发布排期'!I57="取消","取消",'发布排期'!C57)&amp;CHAR(10)&amp;'发布排期'!D57</x:f>
        <x:v>筹备
核对是否具备集中发布能力</x:v>
      </x:c>
      <x:c r="K17" s="18" t="str">
        <x:v>不更
今天不新增剧宣</x:v>
      </x:c>
    </x:row>
    <x:row r="18" ht="88" customHeight="1">
      <x:c r="A18" s="28" t="n">
        <x:v>46293</x:v>
      </x:c>
      <x:c r="B18" s="15" t="str">
        <x:v>不更
今天不新增剧宣</x:v>
      </x:c>
      <x:c r="C18" s="15" t="str">
        <x:f>IF('发布排期'!I58="取消","取消",'发布排期'!C58)&amp;CHAR(10)&amp;'发布排期'!D58</x:f>
        <x:v>筹备
核对首集与后续存片</x:v>
      </x:c>
      <x:c r="D18" s="15" t="str">
        <x:v>不更
今天不新增剧宣</x:v>
      </x:c>
      <x:c r="E18" s="15" t="str">
        <x:f>IF('发布排期'!I59="取消","取消",'发布排期'!C59)&amp;CHAR(10)&amp;'发布排期'!D59</x:f>
        <x:v>发布
制片人的一天：看片与修改</x:v>
      </x:c>
      <x:c r="F18" s="15" t="str">
        <x:v>不更
今天不新增剧宣</x:v>
      </x:c>
      <x:c r="G18" s="15" t="str">
        <x:f>IF('发布排期'!I60="取消","取消",'发布排期'!C60)&amp;CHAR(10)&amp;'发布排期'!D60</x:f>
        <x:v>发布
陆文川的第一次亮相</x:v>
      </x:c>
      <x:c r="H18" s="15" t="str">
        <x:v>不更
今天不新增剧宣</x:v>
      </x:c>
      <x:c r="I18" s="15" t="str">
        <x:f>IF('发布排期'!I61="取消","取消",'发布排期'!C61)&amp;CHAR(10)&amp;'发布排期'!D61</x:f>
        <x:v>发布
一个表情，一种情绪</x:v>
      </x:c>
      <x:c r="J18" s="15" t="str">
        <x:f>IF('发布排期'!I62="取消","取消",'发布排期'!C62)&amp;CHAR(10)&amp;'发布排期'!D62</x:f>
        <x:v>筹备
候选池向 500 个覆盖</x:v>
      </x:c>
      <x:c r="K18" s="15" t="str">
        <x:v>不更
今天不新增剧宣</x:v>
      </x:c>
    </x:row>
    <x:row r="19" ht="88" customHeight="1">
      <x:c r="A19" s="29" t="n">
        <x:v>46294</x:v>
      </x:c>
      <x:c r="B19" s="18" t="str">
        <x:f>IF('发布排期'!I63="取消","取消",'发布排期'!C63)&amp;CHAR(10)&amp;'发布排期'!D63</x:f>
        <x:v>发布
发布表演修改前后对照</x:v>
      </x:c>
      <x:c r="C19" s="18" t="str">
        <x:v>不更
今天不新增剧宣</x:v>
      </x:c>
      <x:c r="D19" s="18" t="str">
        <x:v>不更
今天不新增剧宣</x:v>
      </x:c>
      <x:c r="E19" s="18" t="str">
        <x:v>不更
今天不新增剧宣</x:v>
      </x:c>
      <x:c r="F19" s="18" t="str">
        <x:f>IF('发布排期'!I64="取消","取消",'发布排期'!C64)&amp;CHAR(10)&amp;'发布排期'!D64</x:f>
        <x:v>筹备
收主预告和参演介绍样片</x:v>
      </x:c>
      <x:c r="G19" s="18" t="str">
        <x:v>不更
今天不新增剧宣</x:v>
      </x:c>
      <x:c r="H19" s="18" t="str">
        <x:v>不更
今天不新增剧宣</x:v>
      </x:c>
      <x:c r="I19" s="18" t="str">
        <x:f>IF('发布排期'!I65="取消","取消",'发布排期'!C65)&amp;CHAR(10)&amp;'发布排期'!D65</x:f>
        <x:v>发布
选装后的氛围成片</x:v>
      </x:c>
      <x:c r="J19" s="18" t="str">
        <x:f>IF('发布排期'!I66="取消","取消",'发布排期'!C66)&amp;CHAR(10)&amp;'发布排期'!D66</x:f>
        <x:v>筹备
分配预热版与播后版素材包</x:v>
      </x:c>
      <x:c r="K19" s="18" t="str">
        <x:f>IF('发布排期'!I67="取消","取消",'发布排期'!C67)&amp;CHAR(10)&amp;'发布排期'!D67</x:f>
        <x:v>筹备
核对首播直播切片交付规则</x:v>
      </x:c>
    </x:row>
    <x:row r="20" ht="88" customHeight="1">
      <x:c r="A20" s="28" t="n">
        <x:v>46295</x:v>
      </x:c>
      <x:c r="B20" s="15" t="str">
        <x:v>不更
今天不新增剧宣</x:v>
      </x:c>
      <x:c r="C20" s="15" t="str">
        <x:f>IF('发布排期'!I68="取消","取消",'发布排期'!C68)&amp;CHAR(10)&amp;'发布排期'!D68</x:f>
        <x:v>筹备
确认 10/10 是否具备首播条件</x:v>
      </x:c>
      <x:c r="D20" s="15" t="str">
        <x:f>IF('发布排期'!I69="取消","取消",'发布排期'!C69)&amp;CHAR(10)&amp;'发布排期'!D69</x:f>
        <x:v>筹备
确认预热期矩阵排班</x:v>
      </x:c>
      <x:c r="E20" s="15" t="str">
        <x:v>不更
今天不新增剧宣</x:v>
      </x:c>
      <x:c r="F20" s="15" t="str">
        <x:v>不更
今天不新增剧宣</x:v>
      </x:c>
      <x:c r="G20" s="15" t="str">
        <x:f>IF('发布排期'!I70="取消","取消",'发布排期'!C70)&amp;CHAR(10)&amp;'发布排期'!D70</x:f>
        <x:v>发布
陆文川的日常氛围</x:v>
      </x:c>
      <x:c r="H20" s="15" t="str">
        <x:f>IF('发布排期'!I71="取消","取消",'发布排期'!C71)&amp;CHAR(10)&amp;'发布排期'!D71</x:f>
        <x:v>筹备
准备教堂先导接力版</x:v>
      </x:c>
      <x:c r="I20" s="15" t="str">
        <x:f>IF('发布排期'!I72="取消","取消",'发布排期'!C72)&amp;CHAR(10)&amp;'发布排期'!D72</x:f>
        <x:v>发布
在庭院里再认识她一点</x:v>
      </x:c>
      <x:c r="J20" s="15" t="str">
        <x:f>IF('发布排期'!I73="取消","取消",'发布排期'!C73)&amp;CHAR(10)&amp;'发布排期'!D73</x:f>
        <x:v>筹备
锁定第一批合作发布表</x:v>
      </x:c>
      <x:c r="K20" s="15" t="str">
        <x:v>不更
今天不新增剧宣</x:v>
      </x:c>
    </x:row>
    <x:row r="21" ht="88" customHeight="1">
      <x:c r="A21" s="29" t="n">
        <x:v>46296</x:v>
      </x:c>
      <x:c r="B21" s="18" t="str">
        <x:v>不更
今天不新增剧宣</x:v>
      </x:c>
      <x:c r="C21" s="18" t="str">
        <x:v>不更
今天不新增剧宣</x:v>
      </x:c>
      <x:c r="D21" s="18" t="str">
        <x:v>不更
今天不新增剧宣</x:v>
      </x:c>
      <x:c r="E21" s="18" t="str">
        <x:v>不更
今天不新增剧宣</x:v>
      </x:c>
      <x:c r="F21" s="18" t="str">
        <x:v>不更
今天不新增剧宣</x:v>
      </x:c>
      <x:c r="G21" s="18" t="str">
        <x:v>不更
今天不新增剧宣</x:v>
      </x:c>
      <x:c r="H21" s="18" t="str">
        <x:v>不更
今天不新增剧宣</x:v>
      </x:c>
      <x:c r="I21" s="18" t="str">
        <x:v>不更
今天不新增剧宣</x:v>
      </x:c>
      <x:c r="J21" s="18" t="str">
        <x:f>IF('发布排期'!I74="取消","取消",'发布排期'!C74)&amp;CHAR(10)&amp;'发布排期'!D74</x:f>
        <x:v>筹备
整理名单与素材授权</x:v>
      </x:c>
      <x:c r="K21" s="18" t="str">
        <x:v>不更
今天不新增剧宣</x:v>
      </x:c>
    </x:row>
    <x:row r="22" ht="88" customHeight="1">
      <x:c r="A22" s="28" t="n">
        <x:v>46297</x:v>
      </x:c>
      <x:c r="B22" s="15" t="str">
        <x:v>不更
今天不新增剧宣</x:v>
      </x:c>
      <x:c r="C22" s="15" t="str">
        <x:v>不更
今天不新增剧宣</x:v>
      </x:c>
      <x:c r="D22" s="15" t="str">
        <x:v>不更
今天不新增剧宣</x:v>
      </x:c>
      <x:c r="E22" s="15" t="str">
        <x:v>不更
今天不新增剧宣</x:v>
      </x:c>
      <x:c r="F22" s="15" t="str">
        <x:v>不更
今天不新增剧宣</x:v>
      </x:c>
      <x:c r="G22" s="15" t="str">
        <x:v>不更
今天不新增剧宣</x:v>
      </x:c>
      <x:c r="H22" s="15" t="str">
        <x:v>不更
今天不新增剧宣</x:v>
      </x:c>
      <x:c r="I22" s="15" t="str">
        <x:v>不更
今天不新增剧宣</x:v>
      </x:c>
      <x:c r="J22" s="15" t="str">
        <x:f>IF('发布排期'!I75="取消","取消",'发布排期'!C75)&amp;CHAR(10)&amp;'发布排期'!D75</x:f>
        <x:v>筹备
确认明日起的合作档期</x:v>
      </x:c>
      <x:c r="K22" s="15" t="str">
        <x:f>IF('发布排期'!I76="取消","取消",'发布排期'!C76)&amp;CHAR(10)&amp;'发布排期'!D76</x:f>
        <x:v>筹备
确认切片手和直播原料窗口</x:v>
      </x:c>
    </x:row>
    <x:row r="23" ht="88" customHeight="1">
      <x:c r="A23" s="29" t="n">
        <x:v>46298</x:v>
      </x:c>
      <x:c r="B23" s="18" t="str">
        <x:v>不更
今天不新增剧宣</x:v>
      </x:c>
      <x:c r="C23" s="18" t="str">
        <x:f>IF('发布排期'!I77="取消","取消",'发布排期'!C77)&amp;CHAR(10)&amp;'发布排期'!D77</x:f>
        <x:v>发布
项目首宣与主视觉</x:v>
      </x:c>
      <x:c r="D23" s="18" t="str">
        <x:f>IF('发布排期'!I78="取消","取消",'发布排期'!C78)&amp;CHAR(10)&amp;'发布排期'!D78</x:f>
        <x:v>发布
适配矩阵号接项目首宣</x:v>
      </x:c>
      <x:c r="E23" s="18" t="str">
        <x:f>IF('发布排期'!I79="取消","取消",'发布排期'!C79)&amp;CHAR(10)&amp;'发布排期'!D79</x:f>
        <x:v>筹备
录一条真人参演介绍</x:v>
      </x:c>
      <x:c r="F23" s="18" t="str">
        <x:v>不更
今天不新增剧宣</x:v>
      </x:c>
      <x:c r="G23" s="18" t="str">
        <x:v>不更
今天不新增剧宣</x:v>
      </x:c>
      <x:c r="H23" s="18" t="str">
        <x:f>IF('发布排期'!I80="取消","取消",'发布排期'!C80)&amp;CHAR(10)&amp;'发布排期'!D80</x:f>
        <x:v>发布
郑允书角色海报接首宣</x:v>
      </x:c>
      <x:c r="I23" s="18" t="str">
        <x:f>IF('发布排期'!I81="取消","取消",'发布排期'!C81)&amp;CHAR(10)&amp;'发布排期'!D81</x:f>
        <x:v>发布
我参演的这部作品，正式亮相</x:v>
      </x:c>
      <x:c r="J23" s="18" t="str">
        <x:f>IF('发布排期'!I82="取消","取消",'发布排期'!C82)&amp;CHAR(10)&amp;'发布排期'!D82</x:f>
        <x:v>筹备
交付首批无剧透预热包</x:v>
      </x:c>
      <x:c r="K23" s="18" t="str">
        <x:v>不更
今天不新增剧宣</x:v>
      </x:c>
    </x:row>
    <x:row r="24" ht="88" customHeight="1">
      <x:c r="A24" s="28" t="n">
        <x:v>46299</x:v>
      </x:c>
      <x:c r="B24" s="15" t="str">
        <x:v>不更
今天不新增剧宣</x:v>
      </x:c>
      <x:c r="C24" s="15" t="str">
        <x:f>IF('发布排期'!I83="取消","取消",'发布排期'!C83)&amp;CHAR(10)&amp;'发布排期'!D83</x:f>
        <x:v>发布
教堂戏中戏先导</x:v>
      </x:c>
      <x:c r="D24" s="15" t="str">
        <x:v>不更
今天不新增剧宣</x:v>
      </x:c>
      <x:c r="E24" s="15" t="str">
        <x:v>不更
今天不新增剧宣</x:v>
      </x:c>
      <x:c r="F24" s="15" t="str">
        <x:v>不更
今天不新增剧宣</x:v>
      </x:c>
      <x:c r="G24" s="15" t="str">
        <x:f>IF('发布排期'!I84="取消","取消",'发布排期'!C84)&amp;CHAR(10)&amp;'发布排期'!D84</x:f>
        <x:v>发布
陆文川视角接先导</x:v>
      </x:c>
      <x:c r="H24" s="15" t="str">
        <x:f>IF('发布排期'!I85="取消","取消",'发布排期'!C85)&amp;CHAR(10)&amp;'发布排期'!D85</x:f>
        <x:v>发布
角色号接力教堂先导</x:v>
      </x:c>
      <x:c r="I24" s="15" t="str">
        <x:f>IF('发布排期'!I86="取消","取消",'发布排期'!C86)&amp;CHAR(10)&amp;'发布排期'!D86</x:f>
        <x:v>发布
女主视角的教堂先导</x:v>
      </x:c>
      <x:c r="J24" s="15" t="str">
        <x:f>IF('发布排期'!I87="取消","取消",'发布排期'!C87)&amp;CHAR(10)&amp;'发布排期'!D87</x:f>
        <x:v>发布
第一批营销号先导二创</x:v>
      </x:c>
      <x:c r="K24" s="15" t="str">
        <x:f>IF('发布排期'!I88="取消","取消",'发布排期'!C88)&amp;CHAR(10)&amp;'发布排期'!D88</x:f>
        <x:v>筹备
收真人讲剧原料并标时间点</x:v>
      </x:c>
    </x:row>
    <x:row r="25" ht="88" customHeight="1">
      <x:c r="A25" s="29" t="n">
        <x:v>46300</x:v>
      </x:c>
      <x:c r="B25" s="18" t="str">
        <x:f>IF('发布排期'!I89="取消","取消",'发布排期'!C89)&amp;CHAR(10)&amp;'发布排期'!D89</x:f>
        <x:v>发布
教堂这一幕怎样做出来</x:v>
      </x:c>
      <x:c r="C25" s="18" t="str">
        <x:v>不更
今天不新增剧宣</x:v>
      </x:c>
      <x:c r="D25" s="18" t="str">
        <x:v>不更
今天不新增剧宣</x:v>
      </x:c>
      <x:c r="E25" s="18" t="str">
        <x:f>IF('发布排期'!I90="取消","取消",'发布排期'!C90)&amp;CHAR(10)&amp;'发布排期'!D90</x:f>
        <x:v>发布
真人介绍：我在做这部剧</x:v>
      </x:c>
      <x:c r="F25" s="18" t="str">
        <x:v>不更
今天不新增剧宣</x:v>
      </x:c>
      <x:c r="G25" s="18" t="str">
        <x:f>IF('发布排期'!I91="取消","取消",'发布排期'!C91)&amp;CHAR(10)&amp;'发布排期'!D91</x:f>
        <x:v>发布
陆文川单人高光</x:v>
      </x:c>
      <x:c r="H25" s="18" t="str">
        <x:v>不更
今天不新增剧宣</x:v>
      </x:c>
      <x:c r="I25" s="18" t="str">
        <x:f>IF('发布排期'!I92="取消","取消",'发布排期'!C92)&amp;CHAR(10)&amp;'发布排期'!D92</x:f>
        <x:v>发布
首宣之后的一条日常氛围</x:v>
      </x:c>
      <x:c r="J25" s="18" t="str">
        <x:f>IF('发布排期'!I93="取消","取消",'发布排期'!C93)&amp;CHAR(10)&amp;'发布排期'!D93</x:f>
        <x:v>筹备
复盘首批二创，追加有效账号</x:v>
      </x:c>
      <x:c r="K25" s="18" t="str">
        <x:v>不更
今天不新增剧宣</x:v>
      </x:c>
    </x:row>
    <x:row r="26" ht="88" customHeight="1">
      <x:c r="A26" s="28" t="n">
        <x:v>46301</x:v>
      </x:c>
      <x:c r="B26" s="15" t="str">
        <x:v>不更
今天不新增剧宣</x:v>
      </x:c>
      <x:c r="C26" s="15" t="str">
        <x:f>IF('发布排期'!I94="取消","取消",'发布排期'!C94)&amp;CHAR(10)&amp;'发布排期'!D94</x:f>
        <x:v>发布
8–10 秒短预告</x:v>
      </x:c>
      <x:c r="D26" s="15" t="str">
        <x:f>IF('发布排期'!I95="取消","取消",'发布排期'!C95)&amp;CHAR(10)&amp;'发布排期'!D95</x:f>
        <x:v>发布
适配矩阵号发穿搭或短预告</x:v>
      </x:c>
      <x:c r="E26" s="15" t="str">
        <x:f>IF('发布排期'!I96="取消","取消",'发布排期'!C96)&amp;CHAR(10)&amp;'发布排期'!D96</x:f>
        <x:v>发布
约两秒真人开头的转场</x:v>
      </x:c>
      <x:c r="F26" s="15" t="str">
        <x:f>IF('发布排期'!I97="取消","取消",'发布排期'!C97)&amp;CHAR(10)&amp;'发布排期'!D97</x:f>
        <x:v>筹备
确认大号要发的最终版本</x:v>
      </x:c>
      <x:c r="G26" s="15" t="str">
        <x:v>不更
今天不新增剧宣</x:v>
      </x:c>
      <x:c r="H26" s="15" t="str">
        <x:v>不更
今天不新增剧宣</x:v>
      </x:c>
      <x:c r="I26" s="15" t="str">
        <x:f>IF('发布排期'!I98="取消","取消",'发布排期'!C98)&amp;CHAR(10)&amp;'发布排期'!D98</x:f>
        <x:v>发布
真人动作接虚拟动作的另一半</x:v>
      </x:c>
      <x:c r="J26" s="15" t="str">
        <x:f>IF('发布排期'!I99="取消","取消",'发布排期'!C99)&amp;CHAR(10)&amp;'发布排期'!D99</x:f>
        <x:v>发布
第二批短预告二创</x:v>
      </x:c>
      <x:c r="K26" s="15" t="str">
        <x:v>不更
今天不新增剧宣</x:v>
      </x:c>
    </x:row>
    <x:row r="27" ht="88" customHeight="1">
      <x:c r="A27" s="29" t="n">
        <x:v>46302</x:v>
      </x:c>
      <x:c r="B27" s="18" t="str">
        <x:f>IF('发布排期'!I100="取消","取消",'发布排期'!C100)&amp;CHAR(10)&amp;'发布排期'!D100</x:f>
        <x:v>发布
造型或场景的一处修改</x:v>
      </x:c>
      <x:c r="C27" s="18" t="str">
        <x:v>不更
今天不新增剧宣</x:v>
      </x:c>
      <x:c r="D27" s="18" t="str">
        <x:v>不更
今天不新增剧宣</x:v>
      </x:c>
      <x:c r="E27" s="18" t="str">
        <x:f>IF('发布排期'!I101="取消","取消",'发布排期'!C101)&amp;CHAR(10)&amp;'发布排期'!D101</x:f>
        <x:v>发布
制片人的一天：选装与空间</x:v>
      </x:c>
      <x:c r="F27" s="18" t="str">
        <x:v>不更
今天不新增剧宣</x:v>
      </x:c>
      <x:c r="G27" s="18" t="str">
        <x:f>IF('发布排期'!I102="取消","取消",'发布排期'!C102)&amp;CHAR(10)&amp;'发布排期'!D102</x:f>
        <x:v>发布
男女主 CP 共创：男主一侧</x:v>
      </x:c>
      <x:c r="H27" s="18" t="str">
        <x:v>不更
今天不新增剧宣</x:v>
      </x:c>
      <x:c r="I27" s="18" t="str">
        <x:f>IF('发布排期'!I103="取消","取消",'发布排期'!C103)&amp;CHAR(10)&amp;'发布排期'!D103</x:f>
        <x:v>发布
男女主 CP 共创：女主一侧</x:v>
      </x:c>
      <x:c r="J27" s="18" t="str">
        <x:v>不更
今天不新增剧宣</x:v>
      </x:c>
      <x:c r="K27" s="18" t="str">
        <x:f>IF('发布排期'!I104="取消","取消",'发布排期'!C104)&amp;CHAR(10)&amp;'发布排期'!D104</x:f>
        <x:v>发布
真人讲剧的首轮切片</x:v>
      </x:c>
    </x:row>
    <x:row r="28" ht="88" customHeight="1">
      <x:c r="A28" s="28" t="n">
        <x:v>46303</x:v>
      </x:c>
      <x:c r="B28" s="15" t="str">
        <x:v>不更
今天不新增剧宣</x:v>
      </x:c>
      <x:c r="C28" s="15" t="str">
        <x:f>IF('发布排期'!I105="取消","取消",'发布排期'!C105)&amp;CHAR(10)&amp;'发布排期'!D105</x:f>
        <x:v>发布
20–30 秒主预告</x:v>
      </x:c>
      <x:c r="D28" s="15" t="str">
        <x:v>不更
今天不新增剧宣</x:v>
      </x:c>
      <x:c r="E28" s="15" t="str">
        <x:v>不更
今天不新增剧宣</x:v>
      </x:c>
      <x:c r="F28" s="15" t="str">
        <x:f>IF('发布排期'!I106="取消","取消",'发布排期'!C106)&amp;CHAR(10)&amp;'发布排期'!D106</x:f>
        <x:v>发布
大号择优支持主预告 / 参演介绍</x:v>
      </x:c>
      <x:c r="G28" s="15" t="str">
        <x:v>不更
今天不新增剧宣</x:v>
      </x:c>
      <x:c r="H28" s="15" t="str">
        <x:f>IF('发布排期'!I107="取消","取消",'发布排期'!C107)&amp;CHAR(10)&amp;'发布排期'!D107</x:f>
        <x:v>发布
郑允书接主预告 / 人物氛围</x:v>
      </x:c>
      <x:c r="I28" s="15" t="str">
        <x:f>IF('发布排期'!I108="取消","取消",'发布排期'!C108)&amp;CHAR(10)&amp;'发布排期'!D108</x:f>
        <x:v>发布
虚拟女主接主预告</x:v>
      </x:c>
      <x:c r="J28" s="15" t="str">
        <x:f>IF('发布排期'!I109="取消","取消",'发布排期'!C109)&amp;CHAR(10)&amp;'发布排期'!D109</x:f>
        <x:v>发布
营销号集中扩散主预告</x:v>
      </x:c>
      <x:c r="K28" s="15" t="str">
        <x:v>不更
今天不新增剧宣</x:v>
      </x:c>
    </x:row>
    <x:row r="29" ht="88" customHeight="1">
      <x:c r="A29" s="29" t="n">
        <x:v>46304</x:v>
      </x:c>
      <x:c r="B29" s="18" t="str">
        <x:v>不更
今天不新增剧宣</x:v>
      </x:c>
      <x:c r="C29" s="18" t="str">
        <x:f>IF('发布排期'!I110="取消","取消",'发布排期'!C110)&amp;CHAR(10)&amp;'发布排期'!D110</x:f>
        <x:v>发布
明日开播与追剧日历</x:v>
      </x:c>
      <x:c r="D29" s="18" t="str">
        <x:f>IF('发布排期'!I111="取消","取消",'发布排期'!C111)&amp;CHAR(10)&amp;'发布排期'!D111</x:f>
        <x:v>发布
已确认矩阵号接开播提醒</x:v>
      </x:c>
      <x:c r="E29" s="18" t="str">
        <x:f>IF('发布排期'!I112="取消","取消",'发布排期'!C112)&amp;CHAR(10)&amp;'发布排期'!D112</x:f>
        <x:v>筹备
直播或陪看片彩排</x:v>
      </x:c>
      <x:c r="F29" s="18" t="str">
        <x:v>不更
今天不新增剧宣</x:v>
      </x:c>
      <x:c r="G29" s="18" t="str">
        <x:f>IF('发布排期'!I113="取消","取消",'发布排期'!C113)&amp;CHAR(10)&amp;'发布排期'!D113</x:f>
        <x:v>发布
陆文川开播提醒</x:v>
      </x:c>
      <x:c r="H29" s="18" t="str">
        <x:v>不更
今天不新增剧宣</x:v>
      </x:c>
      <x:c r="I29" s="18" t="str">
        <x:f>IF('发布排期'!I114="取消","取消",'发布排期'!C114)&amp;CHAR(10)&amp;'发布排期'!D114</x:f>
        <x:v>发布
女主开播提醒</x:v>
      </x:c>
      <x:c r="J29" s="18" t="str">
        <x:f>IF('发布排期'!I115="取消","取消",'发布排期'!C115)&amp;CHAR(10)&amp;'发布排期'!D115</x:f>
        <x:v>筹备
核对首播后的高光包与合作批次</x:v>
      </x:c>
      <x:c r="K29" s="18" t="str">
        <x:f>IF('发布排期'!I116="取消","取消",'发布排期'!C116)&amp;CHAR(10)&amp;'发布排期'!D116</x:f>
        <x:v>筹备
准备首播直播切片交接</x:v>
      </x:c>
    </x:row>
    <x:row r="30" ht="88" customHeight="1">
      <x:c r="A30" s="28" t="n">
        <x:v>46305</x:v>
      </x:c>
      <x:c r="B30" s="15" t="str">
        <x:f>IF('发布排期'!I117="取消","取消",'发布排期'!C117)&amp;CHAR(10)&amp;'发布排期'!D117</x:f>
        <x:v>筹备
准备首集声音与制作对照</x:v>
      </x:c>
      <x:c r="C30" s="15" t="str">
        <x:f>IF('发布排期'!I118="取消","取消",'发布排期'!C118)&amp;CHAR(10)&amp;'发布排期'!D118</x:f>
        <x:v>发布
第一集正片与观看入口</x:v>
      </x:c>
      <x:c r="D30" s="15" t="str">
        <x:f>IF('发布排期'!I119="取消","取消",'发布排期'!C119)&amp;CHAR(10)&amp;'发布排期'!D119</x:f>
        <x:v>发布
参与矩阵号接首播</x:v>
      </x:c>
      <x:c r="E30" s="15" t="str">
        <x:f>IF('发布排期'!I120="取消","取消",'发布排期'!C120)&amp;CHAR(10)&amp;'发布排期'!D120</x:f>
        <x:v>直播
首播直播 / 陪看片</x:v>
      </x:c>
      <x:c r="F30" s="15" t="str">
        <x:f>IF('发布排期'!I121="取消","取消",'发布排期'!C121)&amp;CHAR(10)&amp;'发布排期'!D121</x:f>
        <x:v>发布
大号开播支持，择优一条</x:v>
      </x:c>
      <x:c r="G30" s="15" t="str">
        <x:f>IF('发布排期'!I122="取消","取消",'发布排期'!C122)&amp;CHAR(10)&amp;'发布排期'!D122</x:f>
        <x:v>发布
陆文川的开播营业</x:v>
      </x:c>
      <x:c r="H30" s="15" t="str">
        <x:f>IF('发布排期'!I123="取消","取消",'发布排期'!C123)&amp;CHAR(10)&amp;'发布排期'!D123</x:f>
        <x:v>发布
郑允书开播支持</x:v>
      </x:c>
      <x:c r="I30" s="15" t="str">
        <x:f>IF('发布排期'!I124="取消","取消",'发布排期'!C124)&amp;CHAR(10)&amp;'发布排期'!D124</x:f>
        <x:v>发布
女主开播片与当集高光</x:v>
      </x:c>
      <x:c r="J30" s="15" t="str">
        <x:f>IF('发布排期'!I125="取消","取消",'发布排期'!C125)&amp;CHAR(10)&amp;'发布排期'!D125</x:f>
        <x:v>发布
首播高光二创集中上线</x:v>
      </x:c>
      <x:c r="K30" s="15" t="str">
        <x:f>IF('发布排期'!I126="取消","取消",'发布排期'!C126)&amp;CHAR(10)&amp;'发布排期'!D126</x:f>
        <x:v>发布
直播结束后发首轮真人切片</x:v>
      </x:c>
    </x:row>
    <x:row r="31" ht="88" customHeight="1">
      <x:c r="A31" s="29" t="n">
        <x:v>46306</x:v>
      </x:c>
      <x:c r="B31" s="18" t="str">
        <x:f>IF('发布排期'!I127="取消","取消",'发布排期'!C127)&amp;CHAR(10)&amp;'发布排期'!D127</x:f>
        <x:v>发布
首集声音与节奏前后对照</x:v>
      </x:c>
      <x:c r="C31" s="18" t="str">
        <x:f>IF('发布排期'!I128="取消","取消",'发布排期'!C128)&amp;CHAR(10)&amp;'发布排期'!D128</x:f>
        <x:v>筹备
复盘真实发片和正片导流</x:v>
      </x:c>
      <x:c r="D31" s="18" t="str">
        <x:v>不更
今天不新增剧宣</x:v>
      </x:c>
      <x:c r="E31" s="18" t="str">
        <x:v>不更
今天不新增剧宣</x:v>
      </x:c>
      <x:c r="F31" s="18" t="str">
        <x:v>不更
今天不新增剧宣</x:v>
      </x:c>
      <x:c r="G31" s="18" t="str">
        <x:v>不更
今天不新增剧宣</x:v>
      </x:c>
      <x:c r="H31" s="18" t="str">
        <x:v>不更
今天不新增剧宣</x:v>
      </x:c>
      <x:c r="I31" s="18" t="str">
        <x:f>IF('发布排期'!I129="取消","取消",'发布排期'!C129)&amp;CHAR(10)&amp;'发布排期'!D129</x:f>
        <x:v>发布
开播后，她的日常氛围</x:v>
      </x:c>
      <x:c r="J31" s="18" t="str">
        <x:f>IF('发布排期'!I130="取消","取消",'发布排期'!C130)&amp;CHAR(10)&amp;'发布排期'!D130</x:f>
        <x:v>发布
按首播反馈追加有效二创</x:v>
      </x:c>
      <x:c r="K31" s="18" t="str">
        <x:f>IF('发布排期'!I131="取消","取消",'发布排期'!C131)&amp;CHAR(10)&amp;'发布排期'!D131</x:f>
        <x:v>发布
首播直播第二轮切片</x:v>
      </x:c>
    </x:row>
    <x:row r="32" ht="88" customHeight="1">
      <x:c r="A32" s="28" t="n">
        <x:v>46307</x:v>
      </x:c>
      <x:c r="B32" s="15" t="str">
        <x:v>不更
今天不新增剧宣</x:v>
      </x:c>
      <x:c r="C32" s="15" t="str">
        <x:f>IF('发布排期'!I132="取消","取消",'发布排期'!C132)&amp;CHAR(10)&amp;'发布排期'!D132</x:f>
        <x:v>发布
新观众从哪里开始看</x:v>
      </x:c>
      <x:c r="D32" s="15" t="str">
        <x:f>IF('发布排期'!I133="取消","取消",'发布排期'!C133)&amp;CHAR(10)&amp;'发布排期'!D133</x:f>
        <x:v>筹备
核对首播期矩阵效果</x:v>
      </x:c>
      <x:c r="E32" s="15" t="str">
        <x:v>不更
今天不新增剧宣</x:v>
      </x:c>
      <x:c r="F32" s="15" t="str">
        <x:v>不更
今天不新增剧宣</x:v>
      </x:c>
      <x:c r="G32" s="15" t="str">
        <x:f>IF('发布排期'!I134="取消","取消",'发布排期'!C134)&amp;CHAR(10)&amp;'发布排期'!D134</x:f>
        <x:v>发布
陆文川回应女主互动</x:v>
      </x:c>
      <x:c r="H32" s="15" t="str">
        <x:v>不更
今天不新增剧宣</x:v>
      </x:c>
      <x:c r="I32" s="15" t="str">
        <x:f>IF('发布排期'!I135="取消","取消",'发布排期'!C135)&amp;CHAR(10)&amp;'发布排期'!D135</x:f>
        <x:v>发布
男女主已播关系互动</x:v>
      </x:c>
      <x:c r="J32" s="15" t="str">
        <x:f>IF('发布排期'!I136="取消","取消",'发布排期'!C136)&amp;CHAR(10)&amp;'发布排期'!D136</x:f>
        <x:v>发布
人物关系 / 解说第二批</x:v>
      </x:c>
      <x:c r="K32" s="15" t="str">
        <x:v>不更
今天不新增剧宣</x:v>
      </x:c>
    </x:row>
    <x:row r="33" ht="88" customHeight="1">
      <x:c r="A33" s="29" t="n">
        <x:v>46308</x:v>
      </x:c>
      <x:c r="B33" s="18" t="str">
        <x:f>IF('发布排期'!I137="取消","取消",'发布排期'!C137)&amp;CHAR(10)&amp;'发布排期'!D137</x:f>
        <x:v>发布
首集一处表演或画面修改</x:v>
      </x:c>
      <x:c r="C33" s="18" t="str">
        <x:v>不更
今天不新增剧宣</x:v>
      </x:c>
      <x:c r="D33" s="18" t="str">
        <x:v>不更
今天不新增剧宣</x:v>
      </x:c>
      <x:c r="E33" s="18" t="str">
        <x:f>IF('发布排期'!I138="取消","取消",'发布排期'!C138)&amp;CHAR(10)&amp;'发布排期'!D138</x:f>
        <x:v>发布
Yoyo 首次看完整集的反应</x:v>
      </x:c>
      <x:c r="F33" s="18" t="str">
        <x:v>不更
今天不新增剧宣</x:v>
      </x:c>
      <x:c r="G33" s="18" t="str">
        <x:v>不更
今天不新增剧宣</x:v>
      </x:c>
      <x:c r="H33" s="18" t="str">
        <x:f>IF('发布排期'!I139="取消","取消",'发布排期'!C139)&amp;CHAR(10)&amp;'发布排期'!D139</x:f>
        <x:v>发布
郑允书已公开人物内容</x:v>
      </x:c>
      <x:c r="I33" s="18" t="str">
        <x:f>IF('发布排期'!I140="取消","取消",'发布排期'!C140)&amp;CHAR(10)&amp;'发布排期'!D140</x:f>
        <x:v>发布
一条穿搭 / 情绪日常</x:v>
      </x:c>
      <x:c r="J33" s="18" t="str">
        <x:v>不更
今天不新增剧宣</x:v>
      </x:c>
      <x:c r="K33" s="18" t="str">
        <x:f>IF('发布排期'!I141="取消","取消",'发布排期'!C141)&amp;CHAR(10)&amp;'发布排期'!D141</x:f>
        <x:v>发布
看片 reaction 切片</x:v>
      </x:c>
    </x:row>
    <x:row r="34" ht="88" customHeight="1">
      <x:c r="A34" s="28" t="n">
        <x:v>46309</x:v>
      </x:c>
      <x:c r="B34" s="15" t="str">
        <x:v>不更
今天不新增剧宣</x:v>
      </x:c>
      <x:c r="C34" s="15" t="str">
        <x:f>IF('发布排期'!I142="取消","取消",'发布排期'!C142)&amp;CHAR(10)&amp;'发布排期'!D142</x:f>
        <x:v>发布
第二集预告与更新提醒</x:v>
      </x:c>
      <x:c r="D34" s="15" t="str">
        <x:v>不更
今天不新增剧宣</x:v>
      </x:c>
      <x:c r="E34" s="15" t="str">
        <x:f>IF('发布排期'!I143="取消","取消",'发布排期'!C143)&amp;CHAR(10)&amp;'发布排期'!D143</x:f>
        <x:v>发布
制片人的一天：看片与修改</x:v>
      </x:c>
      <x:c r="F34" s="15" t="str">
        <x:v>不更
今天不新增剧宣</x:v>
      </x:c>
      <x:c r="G34" s="15" t="str">
        <x:v>不更
今天不新增剧宣</x:v>
      </x:c>
      <x:c r="H34" s="15" t="str">
        <x:v>不更
今天不新增剧宣</x:v>
      </x:c>
      <x:c r="I34" s="15" t="str">
        <x:f>IF('发布排期'!I144="取消","取消",'发布排期'!C144)&amp;CHAR(10)&amp;'发布排期'!D144</x:f>
        <x:v>发布
女主接第二集预告</x:v>
      </x:c>
      <x:c r="J34" s="15" t="str">
        <x:f>IF('发布排期'!I145="取消","取消",'发布排期'!C145)&amp;CHAR(10)&amp;'发布排期'!D145</x:f>
        <x:v>筹备
交第二集预热包并锁播后批次</x:v>
      </x:c>
      <x:c r="K34" s="15" t="str">
        <x:f>IF('发布排期'!I146="取消","取消",'发布排期'!C146)&amp;CHAR(10)&amp;'发布排期'!D146</x:f>
        <x:v>筹备
整理下一批真人问题与原料</x:v>
      </x:c>
    </x:row>
    <x:row r="35" ht="88" customHeight="1">
      <x:c r="A35" s="29" t="n">
        <x:v>46310</x:v>
      </x:c>
      <x:c r="B35" s="18" t="str">
        <x:v>不更
今天不新增剧宣</x:v>
      </x:c>
      <x:c r="C35" s="18" t="str">
        <x:f>IF('发布排期'!I147="取消","取消",'发布排期'!C147)&amp;CHAR(10)&amp;'发布排期'!D147</x:f>
        <x:v>发布
第二集正片与追剧入口</x:v>
      </x:c>
      <x:c r="D35" s="18" t="str">
        <x:f>IF('发布排期'!I148="取消","取消",'发布排期'!C148)&amp;CHAR(10)&amp;'发布排期'!D148</x:f>
        <x:v>发布
适配矩阵号接第二集</x:v>
      </x:c>
      <x:c r="E35" s="18" t="str">
        <x:v>不更
今天不新增剧宣</x:v>
      </x:c>
      <x:c r="F35" s="18" t="str">
        <x:v>不更
今天不新增剧宣</x:v>
      </x:c>
      <x:c r="G35" s="18" t="str">
        <x:f>IF('发布排期'!I149="取消","取消",'发布排期'!C149)&amp;CHAR(10)&amp;'发布排期'!D149</x:f>
        <x:v>发布
陆文川当集高光 / 互动</x:v>
      </x:c>
      <x:c r="H35" s="18" t="str">
        <x:f>IF('发布排期'!I150="取消","取消",'发布排期'!C150)&amp;CHAR(10)&amp;'发布排期'!D150</x:f>
        <x:v>发布
郑允书当集相关内容</x:v>
      </x:c>
      <x:c r="I35" s="18" t="str">
        <x:f>IF('发布排期'!I151="取消","取消",'发布排期'!C151)&amp;CHAR(10)&amp;'发布排期'!D151</x:f>
        <x:v>发布
第二集上线后的女主高光</x:v>
      </x:c>
      <x:c r="J35" s="18" t="str">
        <x:f>IF('发布排期'!I152="取消","取消",'发布排期'!C152)&amp;CHAR(10)&amp;'发布排期'!D152</x:f>
        <x:v>发布
第二集高光二创集中发布</x:v>
      </x:c>
      <x:c r="K35" s="18" t="str">
        <x:f>IF('发布排期'!I153="取消","取消",'发布排期'!C153)&amp;CHAR(10)&amp;'发布排期'!D153</x:f>
        <x:v>发布
新一轮真人讲剧 / 问答切片</x:v>
      </x:c>
    </x:row>
  </x:sheetData>
  <x:pageMargins left="0.7" right="0.7" top="0.75" bottom="0.75" header="0.3" footer="0.3"/>
  <x:tableParts count="1">
    <x:tablePart xmlns:r="http://schemas.openxmlformats.org/officeDocument/2006/relationships" r:id="Ra1cb676e660f4b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0" hidden="0" customWidth="1"/>
    <x:col min="4" max="4" width="34" hidden="0" customWidth="1"/>
    <x:col min="5" max="5" width="64" hidden="0" customWidth="1"/>
    <x:col min="6" max="6" width="58" hidden="0" customWidth="1"/>
    <x:col min="7" max="7" width="64" hidden="0" customWidth="1"/>
    <x:col min="8" max="8" width="24" hidden="0" customWidth="1"/>
    <x:col min="9" max="9" width="17" hidden="0" customWidth="1"/>
    <x:col min="10" max="10" width="18" hidden="0" customWidth="1"/>
    <x:col min="11" max="11" width="16" hidden="0" customWidth="1"/>
    <x:col min="12" max="12" width="34" hidden="0" customWidth="1"/>
    <x:col min="13" max="13" width="40" hidden="0" customWidth="1"/>
    <x:col min="14" max="14" width="22" hidden="0" customWidth="1"/>
    <x:col min="15" max="15" width="5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9 月 18 日 - 10 月 15 日 · 每条怎么执行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2" t="str">
        <x:v>10/10 首播、10/15 第二集是本版筹备目标，确认后再对外定档；9/18 分身启动已明确。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5" customHeight="1">
      <x:c r="A5" s="2" t="str">
        <x:v>黄色栏填写执行情况。每条仅代表当天该账号的一项安排，营销号/矩阵号的实际数量另核定。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A7" s="9" t="str">
        <x:v>日期</x:v>
      </x:c>
      <x:c r="B7" s="9" t="str">
        <x:v>账号</x:v>
      </x:c>
      <x:c r="C7" s="9" t="str">
        <x:v>当天做什么</x:v>
      </x:c>
      <x:c r="D7" s="9" t="str">
        <x:v>内容 / 工作</x:v>
      </x:c>
      <x:c r="E7" s="9" t="str">
        <x:v>具体怎么做</x:v>
      </x:c>
      <x:c r="F7" s="9" t="str">
        <x:v>账号接力</x:v>
      </x:c>
      <x:c r="G7" s="9" t="str">
        <x:v>发布前条件</x:v>
      </x:c>
      <x:c r="H7" s="9" t="str">
        <x:v>物料编号</x:v>
      </x:c>
      <x:c r="I7" s="9" t="str">
        <x:v>执行状态</x:v>
      </x:c>
      <x:c r="J7" s="9" t="str">
        <x:v>负责人</x:v>
      </x:c>
      <x:c r="K7" s="9" t="str">
        <x:v>具体时刻</x:v>
      </x:c>
      <x:c r="L7" s="9" t="str">
        <x:v>实际发布链接</x:v>
      </x:c>
      <x:c r="M7" s="9" t="str">
        <x:v>执行备注</x:v>
      </x:c>
      <x:c r="N7" s="9" t="str">
        <x:v>数量建议</x:v>
      </x:c>
      <x:c r="O7" s="9" t="str">
        <x:v>会议依据 / 排期来源</x:v>
      </x:c>
    </x:row>
    <x:row r="8" ht="104" customHeight="1">
      <x:c r="A8" s="30" t="n">
        <x:v>46283</x:v>
      </x:c>
      <x:c r="B8" s="15" t="str">
        <x:v>方舟AI</x:v>
      </x:c>
      <x:c r="C8" s="15" t="str">
        <x:v>筹备</x:v>
      </x:c>
      <x:c r="D8" s="15" t="str">
        <x:v>整理真实制作记录</x:v>
      </x:c>
      <x:c r="E8" s="15" t="str">
        <x:v>确定会议、选装、看片、屏幕录制的采集人；素材按日期和物料号归档。</x:v>
      </x:c>
      <x:c r="F8" s="15" t="str">
        <x:v>与方舟智创的作品发布对应，本号保留真实制作与专业过程视角。</x:v>
      </x:c>
      <x:c r="G8" s="15" t="str">
        <x:v>只用真实制作记录及允许公开的版本。</x:v>
      </x:c>
      <x:c r="H8" s="15" t="str">
        <x:v>F6 / E1 / E3</x:v>
      </x:c>
      <x:c r="I8" s="20" t="str">
        <x:v>待确认</x:v>
      </x:c>
      <x:c r="J8" s="20"/>
      <x:c r="K8" s="21"/>
      <x:c r="L8" s="20"/>
      <x:c r="M8" s="20"/>
      <x:c r="N8" s="15" t="str">
        <x:v>当天执行</x:v>
      </x:c>
      <x:c r="O8" s="15" t="str">
        <x:v>11:50–13:53；41:32–41:40；09:42–11:21；39:44–41:28</x:v>
      </x:c>
    </x:row>
    <x:row r="9" ht="104" customHeight="1">
      <x:c r="A9" s="31" t="n">
        <x:v>46283</x:v>
      </x:c>
      <x:c r="B9" s="18" t="str">
        <x:v>方舟智创</x:v>
      </x:c>
      <x:c r="C9" s="18" t="str">
        <x:v>筹备</x:v>
      </x:c>
      <x:c r="D9" s="18" t="str">
        <x:v>核对全账号与正片承接号</x:v>
      </x:c>
      <x:c r="E9" s="18" t="str">
        <x:v>落实 10 类账号的链接、持有人、登录与最终正片入口。</x:v>
      </x:c>
      <x:c r="F9" s="18" t="str">
        <x:v>方舟智创统一发布准确作品信息，其他已确认账号按当天各自内容接续。</x:v>
      </x:c>
      <x:c r="G9" s="18" t="str">
        <x:v>10/10 为本版筹备目标，确认后才能对外定档。</x:v>
      </x:c>
      <x:c r="H9" s="18" t="str">
        <x:v>A1 / A2 / A3 / A4 / A5</x:v>
      </x:c>
      <x:c r="I9" s="20" t="str">
        <x:v>待确认</x:v>
      </x:c>
      <x:c r="J9" s="20"/>
      <x:c r="K9" s="21"/>
      <x:c r="L9" s="20"/>
      <x:c r="M9" s="20"/>
      <x:c r="N9" s="18" t="str">
        <x:v>当天执行</x:v>
      </x:c>
      <x:c r="O9" s="18" t="str">
        <x:v>00:21–00:38；28:55–30:32；32:35–34:43；00:38；31:29–31:46；18:10–19:04；00:59；27:48–28:53；34:11；05:59；18:32；19:04；19:29–20:05；43:54；44:09–44:54</x:v>
      </x:c>
    </x:row>
    <x:row r="10" ht="104" customHeight="1">
      <x:c r="A10" s="30" t="n">
        <x:v>46283</x:v>
      </x:c>
      <x:c r="B10" s="15" t="str">
        <x:v>yoyo矩阵号</x:v>
      </x:c>
      <x:c r="C10" s="15" t="str">
        <x:v>筹备</x:v>
      </x:c>
      <x:c r="D10" s="15" t="str">
        <x:v>列出矩阵号，逐个筛选</x:v>
      </x:c>
      <x:c r="E10" s="15" t="str">
        <x:v>核对带货/穿搭/人物等账号风格；标出能承接剧宣的号。</x:v>
      </x:c>
      <x:c r="F10" s="15" t="str">
        <x:v>按当天内容接方舟智创与 yoyo 虚拟人号；具体账号链接由运营补齐。</x:v>
      </x:c>
      <x:c r="G10" s="15" t="str">
        <x:v>矩阵是否全量参与仍有分歧；只安排筛选后同意参与的账号。</x:v>
      </x:c>
      <x:c r="H10" s="15" t="str">
        <x:v>B3 / H2 / K3</x:v>
      </x:c>
      <x:c r="I10" s="20" t="str">
        <x:v>待确认</x:v>
      </x:c>
      <x:c r="J10" s="20"/>
      <x:c r="K10" s="21"/>
      <x:c r="L10" s="20"/>
      <x:c r="M10" s="20"/>
      <x:c r="N10" s="15" t="str">
        <x:v>当天执行</x:v>
      </x:c>
      <x:c r="O10" s="15" t="str">
        <x:v>06:57；34:50–36:24；16:25–17:28；13:12–13:53；42:06–42:22；45:30–46:23；15:20–17:28；43:21–43:54</x:v>
      </x:c>
    </x:row>
    <x:row r="11" ht="104" customHeight="1">
      <x:c r="A11" s="31" t="n">
        <x:v>46283</x:v>
      </x:c>
      <x:c r="B11" s="18" t="str">
        <x:v>yoyo真人小号</x:v>
      </x:c>
      <x:c r="C11" s="18" t="str">
        <x:v>发布</x:v>
      </x:c>
      <x:c r="D11" s="18" t="str">
        <x:v>真人介绍：这是我的数字分身</x:v>
      </x:c>
      <x:c r="E11" s="18" t="str">
        <x:v>真人简短说明分身与自己、与这部作品的关系，画面接入虚拟形象。</x:v>
      </x:c>
      <x:c r="F11" s="18" t="str">
        <x:v>虚拟号承接 B1；真人大号看质量择优替代或补发，不默认双号齐发。</x:v>
      </x:c>
      <x:c r="G11" s="18" t="str">
        <x:v>Yoyo 配合拍摄、大小号最终选择及准确账号入口。</x:v>
      </x:c>
      <x:c r="H11" s="18" t="str">
        <x:v>C1</x:v>
      </x:c>
      <x:c r="I11" s="20" t="str">
        <x:v>待确认</x:v>
      </x:c>
      <x:c r="J11" s="20"/>
      <x:c r="K11" s="21"/>
      <x:c r="L11" s="20"/>
      <x:c r="M11" s="20"/>
      <x:c r="N11" s="18" t="str">
        <x:v>1 条建议</x:v>
      </x:c>
      <x:c r="O11" s="18" t="str">
        <x:v>07:46；30:32–31:10；32:45–33:22；36:59–37:13</x:v>
      </x:c>
    </x:row>
    <x:row r="12" ht="104" customHeight="1">
      <x:c r="A12" s="30" t="n">
        <x:v>46283</x:v>
      </x:c>
      <x:c r="B12" s="15" t="str">
        <x:v>yoyo大号</x:v>
      </x:c>
      <x:c r="C12" s="15" t="str">
        <x:v>筹备</x:v>
      </x:c>
      <x:c r="D12" s="15" t="str">
        <x:v>给 Yoyo 看分身介绍样片</x:v>
      </x:c>
      <x:c r="E12" s="15" t="str">
        <x:v>请本人选择是否由大号支持；本轮主发先排真人小号。</x:v>
      </x:c>
      <x:c r="F12" s="15" t="str">
        <x:v>按当天内容接方舟智创与 yoyo 虚拟人号；具体账号链接由运营补齐。</x:v>
      </x:c>
      <x:c r="G12" s="15" t="str">
        <x:v>大号发布由本人选片确认。</x:v>
      </x:c>
      <x:c r="H12" s="15" t="str">
        <x:v>C1 / A2</x:v>
      </x:c>
      <x:c r="I12" s="20" t="str">
        <x:v>待确认</x:v>
      </x:c>
      <x:c r="J12" s="20"/>
      <x:c r="K12" s="21"/>
      <x:c r="L12" s="20"/>
      <x:c r="M12" s="20"/>
      <x:c r="N12" s="15" t="str">
        <x:v>当天执行</x:v>
      </x:c>
      <x:c r="O12" s="15" t="str">
        <x:v>07:46；30:32–31:10；32:45–33:22；36:59–37:13；00:38；31:29–31:46；18:10–19:04</x:v>
      </x:c>
    </x:row>
    <x:row r="13" ht="104" customHeight="1">
      <x:c r="A13" s="31" t="n">
        <x:v>46283</x:v>
      </x:c>
      <x:c r="B13" s="18" t="str">
        <x:v>陆文川账号（未申请）</x:v>
      </x:c>
      <x:c r="C13" s="18" t="str">
        <x:v>筹备</x:v>
      </x:c>
      <x:c r="D13" s="18" t="str">
        <x:v>申请陆文川账号</x:v>
      </x:c>
      <x:c r="E13" s="18" t="str">
        <x:v>落实注册人、手机号、账号名与认证需要的资料。</x:v>
      </x:c>
      <x:c r="F13" s="18" t="str">
        <x:v>相关人物号用自己的视角回应，指向同一厂牌/正片入口；不强制每号复制同片。</x:v>
      </x:c>
      <x:c r="G13" s="18" t="str">
        <x:v>当前状态仍为未申请；所有后续发布以开通交接为前提。</x:v>
      </x:c>
      <x:c r="H13" s="18" t="str">
        <x:v>D1</x:v>
      </x:c>
      <x:c r="I13" s="20" t="str">
        <x:v>待确认</x:v>
      </x:c>
      <x:c r="J13" s="20"/>
      <x:c r="K13" s="21"/>
      <x:c r="L13" s="20"/>
      <x:c r="M13" s="20"/>
      <x:c r="N13" s="18" t="str">
        <x:v>当天执行</x:v>
      </x:c>
      <x:c r="O13" s="18" t="str">
        <x:v>09:10–09:42；38:19–39:40</x:v>
      </x:c>
    </x:row>
    <x:row r="14" ht="104" customHeight="1">
      <x:c r="A14" s="30" t="n">
        <x:v>46283</x:v>
      </x:c>
      <x:c r="B14" s="15" t="str">
        <x:v>郑允书</x:v>
      </x:c>
      <x:c r="C14" s="15" t="str">
        <x:v>筹备</x:v>
      </x:c>
      <x:c r="D14" s="15" t="str">
        <x:v>核准郑允书账号与素材</x:v>
      </x:c>
      <x:c r="E14" s="15" t="str">
        <x:v>核对账号可用性、角色身份、可发图片与短片。</x:v>
      </x:c>
      <x:c r="F14" s="15" t="str">
        <x:v>按当天内容接方舟智创与 yoyo 虚拟人号；具体账号链接由运营补齐。</x:v>
      </x:c>
      <x:c r="G14" s="15" t="str">
        <x:v>账号身份、角色版本与可用素材先核准。</x:v>
      </x:c>
      <x:c r="H14" s="15" t="str">
        <x:v>D1 / H3</x:v>
      </x:c>
      <x:c r="I14" s="20" t="str">
        <x:v>待确认</x:v>
      </x:c>
      <x:c r="J14" s="20"/>
      <x:c r="K14" s="21"/>
      <x:c r="L14" s="20"/>
      <x:c r="M14" s="20"/>
      <x:c r="N14" s="15" t="str">
        <x:v>当天执行</x:v>
      </x:c>
      <x:c r="O14" s="15" t="str">
        <x:v>09:10–09:42；38:19–39:40；29:30–30:21</x:v>
      </x:c>
    </x:row>
    <x:row r="15" ht="104" customHeight="1">
      <x:c r="A15" s="31" t="n">
        <x:v>46283</x:v>
      </x:c>
      <x:c r="B15" s="18" t="str">
        <x:v>yoyo虚拟人号</x:v>
      </x:c>
      <x:c r="C15" s="18" t="str">
        <x:v>发布</x:v>
      </x:c>
      <x:c r="D15" s="18" t="str">
        <x:v>分身的第一天</x:v>
      </x:c>
      <x:c r="E15" s="18" t="str">
        <x:v>用一段自然生活片刻建立分身形象，简短自我介绍；不提前灌入复杂剧情。</x:v>
      </x:c>
      <x:c r="F15" s="18" t="str">
        <x:v>真人号如介绍分身，评论与简介引导到虚拟号。</x:v>
      </x:c>
      <x:c r="G15" s="18" t="str">
        <x:v>形象、口吻与首条成片过审；账号可登录。</x:v>
      </x:c>
      <x:c r="H15" s="18" t="str">
        <x:v>B1</x:v>
      </x:c>
      <x:c r="I15" s="20" t="str">
        <x:v>待确认</x:v>
      </x:c>
      <x:c r="J15" s="20"/>
      <x:c r="K15" s="21"/>
      <x:c r="L15" s="20"/>
      <x:c r="M15" s="20"/>
      <x:c r="N15" s="18" t="str">
        <x:v>1 条建议</x:v>
      </x:c>
      <x:c r="O15" s="18" t="str">
        <x:v>06:20；34:58–36:24</x:v>
      </x:c>
    </x:row>
    <x:row r="16" ht="104" customHeight="1">
      <x:c r="A16" s="30" t="n">
        <x:v>46283</x:v>
      </x:c>
      <x:c r="B16" s="15" t="str">
        <x:v>营销号</x:v>
      </x:c>
      <x:c r="C16" s="15" t="str">
        <x:v>筹备</x:v>
      </x:c>
      <x:c r="D16" s="15" t="str">
        <x:v>从《被裁掉的女孩》切片号开始建池</x:v>
      </x:c>
      <x:c r="E16" s="15" t="str">
        <x:v>以用户观察到的自发切片、二创账号为线索，收链接、代表作、联系方式；不把观察写成已核验名单。</x:v>
      </x:c>
      <x:c r="F16" s="15" t="str">
        <x:v>方舟智创提供已审简介、先导或已播高光；成熟 AI 剧账号独立重剪，按约定日期集中发布。</x:v>
      </x:c>
      <x:c r="G16" s="15" t="str">
        <x:v>这是 BD 工作计划；实际名单、金额与签约量待落实。</x:v>
      </x:c>
      <x:c r="H16" s="15" t="str">
        <x:v>K5</x:v>
      </x:c>
      <x:c r="I16" s="20" t="str">
        <x:v>待确认</x:v>
      </x:c>
      <x:c r="J16" s="20"/>
      <x:c r="K16" s="21"/>
      <x:c r="L16" s="20"/>
      <x:c r="M16" s="20"/>
      <x:c r="N16" s="15" t="str">
        <x:v>当天执行</x:v>
      </x:c>
      <x:c r="O16" s="15" t="str">
        <x:v>04:27–05:34；19:55–20:05；43:54；此前 U51</x:v>
      </x:c>
    </x:row>
    <x:row r="17" ht="104" customHeight="1">
      <x:c r="A17" s="31" t="n">
        <x:v>46283</x:v>
      </x:c>
      <x:c r="B17" s="18" t="str">
        <x:v>切片号</x:v>
      </x:c>
      <x:c r="C17" s="18" t="str">
        <x:v>筹备</x:v>
      </x:c>
      <x:c r="D17" s="18" t="str">
        <x:v>拿到真人直播切片账号资源</x:v>
      </x:c>
      <x:c r="E17" s="18" t="str">
        <x:v>核对已有几百个切片账号的联系人与实际可用量。</x:v>
      </x:c>
      <x:c r="F17" s="18" t="str">
        <x:v>yoyo 真人直播/看片原料交切片团队；切片号带准确正片入口，发片后回传链接。</x:v>
      </x:c>
      <x:c r="G17" s="18" t="str">
        <x:v>真人切片池与 AI 剧营销号池分开，不重复算同一批资源。</x:v>
      </x:c>
      <x:c r="H17" s="18" t="str">
        <x:v>J1 / C5 / K5</x:v>
      </x:c>
      <x:c r="I17" s="20" t="str">
        <x:v>待确认</x:v>
      </x:c>
      <x:c r="J17" s="20"/>
      <x:c r="K17" s="21"/>
      <x:c r="L17" s="20"/>
      <x:c r="M17" s="20"/>
      <x:c r="N17" s="18" t="str">
        <x:v>当天执行</x:v>
      </x:c>
      <x:c r="O17" s="18" t="str">
        <x:v>04:27–05:34；14:25；19:04–19:29；08:35–09:10；37:50–38:12；04:27–05:34；19:55–20:05；43:54；此前 U51</x:v>
      </x:c>
    </x:row>
    <x:row r="18" ht="104" customHeight="1">
      <x:c r="A18" s="30" t="n">
        <x:v>46284</x:v>
      </x:c>
      <x:c r="B18" s="15" t="str">
        <x:v>陆文川账号（未申请）</x:v>
      </x:c>
      <x:c r="C18" s="15" t="str">
        <x:v>筹备</x:v>
      </x:c>
      <x:c r="D18" s="15" t="str">
        <x:v>完善主页与角色资料</x:v>
      </x:c>
      <x:c r="E18" s="15" t="str">
        <x:v>先核准角色身份、头像、简介、归属与运营权限。</x:v>
      </x:c>
      <x:c r="F18" s="15" t="str">
        <x:v>相关人物号用自己的视角回应，指向同一厂牌/正片入口；不强制每号复制同片。</x:v>
      </x:c>
      <x:c r="G18" s="15" t="str">
        <x:v>当前状态仍为未申请；所有后续发布以开通交接为前提。</x:v>
      </x:c>
      <x:c r="H18" s="15" t="str">
        <x:v>D1</x:v>
      </x:c>
      <x:c r="I18" s="20" t="str">
        <x:v>待确认</x:v>
      </x:c>
      <x:c r="J18" s="20"/>
      <x:c r="K18" s="21"/>
      <x:c r="L18" s="20"/>
      <x:c r="M18" s="20"/>
      <x:c r="N18" s="15" t="str">
        <x:v>当天执行</x:v>
      </x:c>
      <x:c r="O18" s="15" t="str">
        <x:v>09:10–09:42；38:19–39:40</x:v>
      </x:c>
    </x:row>
    <x:row r="19" ht="104" customHeight="1">
      <x:c r="A19" s="31" t="n">
        <x:v>46284</x:v>
      </x:c>
      <x:c r="B19" s="18" t="str">
        <x:v>yoyo虚拟人号</x:v>
      </x:c>
      <x:c r="C19" s="18" t="str">
        <x:v>发布</x:v>
      </x:c>
      <x:c r="D19" s="18" t="str">
        <x:v>今日穿搭：一个完整造型</x:v>
      </x:c>
      <x:c r="E19" s="18" t="str">
        <x:v>全身到面料、鞋和饰品细节，先做日常审美表达。</x:v>
      </x:c>
      <x:c r="F19" s="18" t="str">
        <x:v>真人选装素材留给 E1；本条不强行同时解释全部制片工作。</x:v>
      </x:c>
      <x:c r="G19" s="18" t="str">
        <x:v>只用获选或明确允许公开的造型。</x:v>
      </x:c>
      <x:c r="H19" s="18" t="str">
        <x:v>B3</x:v>
      </x:c>
      <x:c r="I19" s="20" t="str">
        <x:v>待确认</x:v>
      </x:c>
      <x:c r="J19" s="20"/>
      <x:c r="K19" s="21"/>
      <x:c r="L19" s="20"/>
      <x:c r="M19" s="20"/>
      <x:c r="N19" s="18" t="str">
        <x:v>1 条建议</x:v>
      </x:c>
      <x:c r="O19" s="18" t="str">
        <x:v>06:57；34:50–36:24；16:25–17:28</x:v>
      </x:c>
    </x:row>
    <x:row r="20" ht="104" customHeight="1">
      <x:c r="A20" s="30" t="n">
        <x:v>46284</x:v>
      </x:c>
      <x:c r="B20" s="15" t="str">
        <x:v>营销号</x:v>
      </x:c>
      <x:c r="C20" s="15" t="str">
        <x:v>筹备</x:v>
      </x:c>
      <x:c r="D20" s="15" t="str">
        <x:v>记录账号的剪法和表现</x:v>
      </x:c>
      <x:c r="E20" s="15" t="str">
        <x:v>分剧情高光、颜值/CP、解说、混剪；记录近期作品，不只看粉丝量。</x:v>
      </x:c>
      <x:c r="F20" s="15" t="str">
        <x:v>方舟智创提供已审简介、先导或已播高光；成熟 AI 剧账号独立重剪，按约定日期集中发布。</x:v>
      </x:c>
      <x:c r="G20" s="15" t="str">
        <x:v>这是 BD 工作计划；实际名单、金额与签约量待落实。</x:v>
      </x:c>
      <x:c r="H20" s="15" t="str">
        <x:v>K5</x:v>
      </x:c>
      <x:c r="I20" s="20" t="str">
        <x:v>待确认</x:v>
      </x:c>
      <x:c r="J20" s="20"/>
      <x:c r="K20" s="21"/>
      <x:c r="L20" s="20"/>
      <x:c r="M20" s="20"/>
      <x:c r="N20" s="15" t="str">
        <x:v>当天执行</x:v>
      </x:c>
      <x:c r="O20" s="15" t="str">
        <x:v>04:27–05:34；19:55–20:05；43:54；此前 U51</x:v>
      </x:c>
    </x:row>
    <x:row r="21" ht="104" customHeight="1">
      <x:c r="A21" s="31" t="n">
        <x:v>46285</x:v>
      </x:c>
      <x:c r="B21" s="18" t="str">
        <x:v>方舟AI</x:v>
      </x:c>
      <x:c r="C21" s="18" t="str">
        <x:v>筹备</x:v>
      </x:c>
      <x:c r="D21" s="18" t="str">
        <x:v>剪第一条制作幕后</x:v>
      </x:c>
      <x:c r="E21" s="18" t="str">
        <x:v>选一个实际制作问题，保留过程与修改结果，不只拼工作照片。</x:v>
      </x:c>
      <x:c r="F21" s="18" t="str">
        <x:v>与方舟智创的作品发布对应，本号保留真实制作与专业过程视角。</x:v>
      </x:c>
      <x:c r="G21" s="18" t="str">
        <x:v>只用真实制作记录及允许公开的版本。</x:v>
      </x:c>
      <x:c r="H21" s="18" t="str">
        <x:v>F3 / F5</x:v>
      </x:c>
      <x:c r="I21" s="20" t="str">
        <x:v>待确认</x:v>
      </x:c>
      <x:c r="J21" s="20"/>
      <x:c r="K21" s="21"/>
      <x:c r="L21" s="20"/>
      <x:c r="M21" s="20"/>
      <x:c r="N21" s="18" t="str">
        <x:v>当天执行</x:v>
      </x:c>
      <x:c r="O21" s="18" t="str">
        <x:v>11:50–13:53；41:32–41:40；13:53–14:10；41:40–42:22</x:v>
      </x:c>
    </x:row>
    <x:row r="22" ht="104" customHeight="1">
      <x:c r="A22" s="30" t="n">
        <x:v>46285</x:v>
      </x:c>
      <x:c r="B22" s="15" t="str">
        <x:v>yoyo真人小号</x:v>
      </x:c>
      <x:c r="C22" s="15" t="str">
        <x:v>筹备</x:v>
      </x:c>
      <x:c r="D22" s="15" t="str">
        <x:v>审“制片人的一天”初剪</x:v>
      </x:c>
      <x:c r="E22" s="15" t="str">
        <x:v>先选装与场景，看片取舍留后续；没有真实素材则顺延 9/21 发布。</x:v>
      </x:c>
      <x:c r="F22" s="15" t="str">
        <x:v>按当天内容接方舟智创与 yoyo 虚拟人号；具体账号链接由运营补齐。</x:v>
      </x:c>
      <x:c r="G22" s="15" t="str">
        <x:v>须实际约到人、拍到内容，不能以补演冒充幕后。</x:v>
      </x:c>
      <x:c r="H22" s="15" t="str">
        <x:v>E1 / E3 / E4 / E5 / E6</x:v>
      </x:c>
      <x:c r="I22" s="20" t="str">
        <x:v>待确认</x:v>
      </x:c>
      <x:c r="J22" s="20"/>
      <x:c r="K22" s="21"/>
      <x:c r="L22" s="20"/>
      <x:c r="M22" s="20"/>
      <x:c r="N22" s="15" t="str">
        <x:v>当天执行</x:v>
      </x:c>
      <x:c r="O22" s="15" t="str">
        <x:v>09:42–11:21；39:44–41:28；40:27–41:32</x:v>
      </x:c>
    </x:row>
    <x:row r="23" ht="104" customHeight="1">
      <x:c r="A23" s="31" t="n">
        <x:v>46285</x:v>
      </x:c>
      <x:c r="B23" s="18" t="str">
        <x:v>yoyo虚拟人号</x:v>
      </x:c>
      <x:c r="C23" s="18" t="str">
        <x:v>发布</x:v>
      </x:c>
      <x:c r="D23" s="18" t="str">
        <x:v>一个安静的生活瞬间</x:v>
      </x:c>
      <x:c r="E23" s="18" t="str">
        <x:v>用一个动作和一个空间做氛围短片，延续首条语气。</x:v>
      </x:c>
      <x:c r="F23" s="18" t="str">
        <x:v>收集真实评论，作为后续选题依据。</x:v>
      </x:c>
      <x:c r="G23" s="18" t="str">
        <x:v>动作自然度、人物一致性与声音审核。</x:v>
      </x:c>
      <x:c r="H23" s="18" t="str">
        <x:v>B1</x:v>
      </x:c>
      <x:c r="I23" s="20" t="str">
        <x:v>待确认</x:v>
      </x:c>
      <x:c r="J23" s="20"/>
      <x:c r="K23" s="21"/>
      <x:c r="L23" s="20"/>
      <x:c r="M23" s="20"/>
      <x:c r="N23" s="18" t="str">
        <x:v>1 条建议</x:v>
      </x:c>
      <x:c r="O23" s="18" t="str">
        <x:v>06:20；34:58–36:24</x:v>
      </x:c>
    </x:row>
    <x:row r="24" ht="104" customHeight="1">
      <x:c r="A24" s="30" t="n">
        <x:v>46285</x:v>
      </x:c>
      <x:c r="B24" s="15" t="str">
        <x:v>营销号</x:v>
      </x:c>
      <x:c r="C24" s="15" t="str">
        <x:v>筹备</x:v>
      </x:c>
      <x:c r="D24" s="15" t="str">
        <x:v>首批 100 个候选摸底</x:v>
      </x:c>
      <x:c r="E24" s="15" t="str">
        <x:v>100 为工作目标，核对是否愿合作、能否重剪和发布；实际进度另填。</x:v>
      </x:c>
      <x:c r="F24" s="15" t="str">
        <x:v>方舟智创提供已审简介、先导或已播高光；成熟 AI 剧账号独立重剪，按约定日期集中发布。</x:v>
      </x:c>
      <x:c r="G24" s="15" t="str">
        <x:v>这是 BD 工作计划；实际名单、金额与签约量待落实。</x:v>
      </x:c>
      <x:c r="H24" s="15" t="str">
        <x:v>K5</x:v>
      </x:c>
      <x:c r="I24" s="20" t="str">
        <x:v>待确认</x:v>
      </x:c>
      <x:c r="J24" s="20"/>
      <x:c r="K24" s="21"/>
      <x:c r="L24" s="20"/>
      <x:c r="M24" s="20"/>
      <x:c r="N24" s="15" t="str">
        <x:v>当天执行</x:v>
      </x:c>
      <x:c r="O24" s="15" t="str">
        <x:v>04:27–05:34；19:55–20:05；43:54；此前 U51</x:v>
      </x:c>
    </x:row>
    <x:row r="25" ht="104" customHeight="1">
      <x:c r="A25" s="31" t="n">
        <x:v>46286</x:v>
      </x:c>
      <x:c r="B25" s="18" t="str">
        <x:v>方舟智创</x:v>
      </x:c>
      <x:c r="C25" s="18" t="str">
        <x:v>筹备</x:v>
      </x:c>
      <x:c r="D25" s="18" t="str">
        <x:v>收首宣、预告及日历初版</x:v>
      </x:c>
      <x:c r="E25" s="18" t="str">
        <x:v>把主视觉、短预告、教堂先导、追剧信息列入同一交付清单。</x:v>
      </x:c>
      <x:c r="F25" s="18" t="str">
        <x:v>方舟智创统一发布准确作品信息，其他已确认账号按当天各自内容接续。</x:v>
      </x:c>
      <x:c r="G25" s="18" t="str">
        <x:v>10/10 为本版筹备目标，确认后才能对外定档。</x:v>
      </x:c>
      <x:c r="H25" s="18" t="str">
        <x:v>A1 / A2 / A3 / A4 / A5</x:v>
      </x:c>
      <x:c r="I25" s="20" t="str">
        <x:v>待确认</x:v>
      </x:c>
      <x:c r="J25" s="20"/>
      <x:c r="K25" s="21"/>
      <x:c r="L25" s="20"/>
      <x:c r="M25" s="20"/>
      <x:c r="N25" s="18" t="str">
        <x:v>当天执行</x:v>
      </x:c>
      <x:c r="O25" s="18" t="str">
        <x:v>00:21–00:38；28:55–30:32；32:35–34:43；00:38；31:29–31:46；18:10–19:04；00:59；27:48–28:53；34:11；05:59；18:32；19:04；19:29–20:05；43:54；44:09–44:54</x:v>
      </x:c>
    </x:row>
    <x:row r="26" ht="104" customHeight="1">
      <x:c r="A26" s="30" t="n">
        <x:v>46286</x:v>
      </x:c>
      <x:c r="B26" s="15" t="str">
        <x:v>yoyo矩阵号</x:v>
      </x:c>
      <x:c r="C26" s="15" t="str">
        <x:v>筹备</x:v>
      </x:c>
      <x:c r="D26" s="15" t="str">
        <x:v>确定第一批适配账号</x:v>
      </x:c>
      <x:c r="E26" s="15" t="str">
        <x:v>优先本就适合穿搭、虚拟人或影视内容的账号；不要求全矩阵改内容。</x:v>
      </x:c>
      <x:c r="F26" s="15" t="str">
        <x:v>按当天内容接方舟智创与 yoyo 虚拟人号；具体账号链接由运营补齐。</x:v>
      </x:c>
      <x:c r="G26" s="15" t="str">
        <x:v>矩阵是否全量参与仍有分歧；只安排筛选后同意参与的账号。</x:v>
      </x:c>
      <x:c r="H26" s="15" t="str">
        <x:v>B3 / H2 / K3</x:v>
      </x:c>
      <x:c r="I26" s="20" t="str">
        <x:v>待确认</x:v>
      </x:c>
      <x:c r="J26" s="20"/>
      <x:c r="K26" s="21"/>
      <x:c r="L26" s="20"/>
      <x:c r="M26" s="20"/>
      <x:c r="N26" s="15" t="str">
        <x:v>当天执行</x:v>
      </x:c>
      <x:c r="O26" s="15" t="str">
        <x:v>06:57；34:50–36:24；16:25–17:28；13:12–13:53；42:06–42:22；45:30–46:23；15:20–17:28；43:21–43:54</x:v>
      </x:c>
    </x:row>
    <x:row r="27" ht="104" customHeight="1">
      <x:c r="A27" s="31" t="n">
        <x:v>46286</x:v>
      </x:c>
      <x:c r="B27" s="18" t="str">
        <x:v>yoyo真人小号</x:v>
      </x:c>
      <x:c r="C27" s="18" t="str">
        <x:v>发布</x:v>
      </x:c>
      <x:c r="D27" s="18" t="str">
        <x:v>制片人的一天：选装与空间</x:v>
      </x:c>
      <x:c r="E27" s="18" t="str">
        <x:v>从真实审美会选一个判断，剪成提出问题、比较、决定的完整过程。</x:v>
      </x:c>
      <x:c r="F27" s="18" t="str">
        <x:v>方舟智创／方舟 AI 用岗位视角另剪；大号择优。</x:v>
      </x:c>
      <x:c r="G27" s="18" t="str">
        <x:v>审美会实际日期、人手与收音落实后才占此槽；未拍到则顺延。</x:v>
      </x:c>
      <x:c r="H27" s="18" t="str">
        <x:v>E1 / E3</x:v>
      </x:c>
      <x:c r="I27" s="20" t="str">
        <x:v>待确认</x:v>
      </x:c>
      <x:c r="J27" s="20"/>
      <x:c r="K27" s="21"/>
      <x:c r="L27" s="20"/>
      <x:c r="M27" s="20"/>
      <x:c r="N27" s="18" t="str">
        <x:v>1 条建议</x:v>
      </x:c>
      <x:c r="O27" s="18" t="str">
        <x:v>09:42–11:21；39:44–41:28</x:v>
      </x:c>
    </x:row>
    <x:row r="28" ht="104" customHeight="1">
      <x:c r="A28" s="30" t="n">
        <x:v>46286</x:v>
      </x:c>
      <x:c r="B28" s="15" t="str">
        <x:v>陆文川账号（未申请）</x:v>
      </x:c>
      <x:c r="C28" s="15" t="str">
        <x:v>筹备</x:v>
      </x:c>
      <x:c r="D28" s="15" t="str">
        <x:v>交接登录与运营人</x:v>
      </x:c>
      <x:c r="E28" s="15" t="str">
        <x:v>确认可正常登录、发片和接收评论。</x:v>
      </x:c>
      <x:c r="F28" s="15" t="str">
        <x:v>相关人物号用自己的视角回应，指向同一厂牌/正片入口；不强制每号复制同片。</x:v>
      </x:c>
      <x:c r="G28" s="15" t="str">
        <x:v>当前状态仍为未申请；所有后续发布以开通交接为前提。</x:v>
      </x:c>
      <x:c r="H28" s="15" t="str">
        <x:v>D1</x:v>
      </x:c>
      <x:c r="I28" s="20" t="str">
        <x:v>待确认</x:v>
      </x:c>
      <x:c r="J28" s="20"/>
      <x:c r="K28" s="21"/>
      <x:c r="L28" s="20"/>
      <x:c r="M28" s="20"/>
      <x:c r="N28" s="15" t="str">
        <x:v>当天执行</x:v>
      </x:c>
      <x:c r="O28" s="15" t="str">
        <x:v>09:10–09:42；38:19–39:40</x:v>
      </x:c>
    </x:row>
    <x:row r="29" ht="104" customHeight="1">
      <x:c r="A29" s="31" t="n">
        <x:v>46286</x:v>
      </x:c>
      <x:c r="B29" s="18" t="str">
        <x:v>yoyo虚拟人号</x:v>
      </x:c>
      <x:c r="C29" s="18" t="str">
        <x:v>发布</x:v>
      </x:c>
      <x:c r="D29" s="18" t="str">
        <x:v>第一次走进庭院</x:v>
      </x:c>
      <x:c r="E29" s="18" t="str">
        <x:v>用游历视角进入允许公开的庭院空间；将日常慢慢接向作品。</x:v>
      </x:c>
      <x:c r="F29" s="18" t="str">
        <x:v>方舟账号可后续发空间制作过程，不同内容分开发。</x:v>
      </x:c>
      <x:c r="G29" s="18" t="str">
        <x:v>场景已获选；参考图不能直接当正式剧情设定。</x:v>
      </x:c>
      <x:c r="H29" s="18" t="str">
        <x:v>B2</x:v>
      </x:c>
      <x:c r="I29" s="20" t="str">
        <x:v>待确认</x:v>
      </x:c>
      <x:c r="J29" s="20"/>
      <x:c r="K29" s="21"/>
      <x:c r="L29" s="20"/>
      <x:c r="M29" s="20"/>
      <x:c r="N29" s="18" t="str">
        <x:v>1 条建议</x:v>
      </x:c>
      <x:c r="O29" s="18" t="str">
        <x:v>06:20–06:40；35:59–36:51</x:v>
      </x:c>
    </x:row>
    <x:row r="30" ht="104" customHeight="1">
      <x:c r="A30" s="30" t="n">
        <x:v>46286</x:v>
      </x:c>
      <x:c r="B30" s="15" t="str">
        <x:v>营销号</x:v>
      </x:c>
      <x:c r="C30" s="15" t="str">
        <x:v>筹备</x:v>
      </x:c>
      <x:c r="D30" s="15" t="str">
        <x:v>统一报价询问口径</x:v>
      </x:c>
      <x:c r="E30" s="15" t="str">
        <x:v>分别问剪辑加发布、素材直发、多条包量、机构批量；交付条件相同再比价。</x:v>
      </x:c>
      <x:c r="F30" s="15" t="str">
        <x:v>方舟智创提供已审简介、先导或已播高光；成熟 AI 剧账号独立重剪，按约定日期集中发布。</x:v>
      </x:c>
      <x:c r="G30" s="15" t="str">
        <x:v>这是 BD 工作计划；实际名单、金额与签约量待落实。</x:v>
      </x:c>
      <x:c r="H30" s="15" t="str">
        <x:v>K5</x:v>
      </x:c>
      <x:c r="I30" s="20" t="str">
        <x:v>待确认</x:v>
      </x:c>
      <x:c r="J30" s="20"/>
      <x:c r="K30" s="21"/>
      <x:c r="L30" s="20"/>
      <x:c r="M30" s="20"/>
      <x:c r="N30" s="15" t="str">
        <x:v>当天执行</x:v>
      </x:c>
      <x:c r="O30" s="15" t="str">
        <x:v>04:27–05:34；19:55–20:05；43:54；此前 U51</x:v>
      </x:c>
    </x:row>
    <x:row r="31" ht="104" customHeight="1">
      <x:c r="A31" s="31" t="n">
        <x:v>46286</x:v>
      </x:c>
      <x:c r="B31" s="18" t="str">
        <x:v>切片号</x:v>
      </x:c>
      <x:c r="C31" s="18" t="str">
        <x:v>筹备</x:v>
      </x:c>
      <x:c r="D31" s="18" t="str">
        <x:v>确认他们需要哪类真人原料</x:v>
      </x:c>
      <x:c r="E31" s="18" t="str">
        <x:v>以 Yoyo 讲剧、看片、reaction 为主，不要求直播切片手另外生成 AI 剧情。</x:v>
      </x:c>
      <x:c r="F31" s="18" t="str">
        <x:v>yoyo 真人直播/看片原料交切片团队；切片号带准确正片入口，发片后回传链接。</x:v>
      </x:c>
      <x:c r="G31" s="18" t="str">
        <x:v>真人切片池与 AI 剧营销号池分开，不重复算同一批资源。</x:v>
      </x:c>
      <x:c r="H31" s="18" t="str">
        <x:v>J1 / C5 / K5</x:v>
      </x:c>
      <x:c r="I31" s="20" t="str">
        <x:v>待确认</x:v>
      </x:c>
      <x:c r="J31" s="20"/>
      <x:c r="K31" s="21"/>
      <x:c r="L31" s="20"/>
      <x:c r="M31" s="20"/>
      <x:c r="N31" s="18" t="str">
        <x:v>当天执行</x:v>
      </x:c>
      <x:c r="O31" s="18" t="str">
        <x:v>04:27–05:34；14:25；19:04–19:29；08:35–09:10；37:50–38:12；04:27–05:34；19:55–20:05；43:54；此前 U51</x:v>
      </x:c>
    </x:row>
    <x:row r="32" ht="104" customHeight="1">
      <x:c r="A32" s="30" t="n">
        <x:v>46287</x:v>
      </x:c>
      <x:c r="B32" s="15" t="str">
        <x:v>方舟AI</x:v>
      </x:c>
      <x:c r="C32" s="15" t="str">
        <x:v>发布</x:v>
      </x:c>
      <x:c r="D32" s="15" t="str">
        <x:v>发布选装效果的制作过程</x:v>
      </x:c>
      <x:c r="E32" s="15" t="str">
        <x:v>从获选服装到虚拟成片，解释一处真实调整。</x:v>
      </x:c>
      <x:c r="F32" s="15" t="str">
        <x:v>与方舟智创的作品发布对应，本号保留真实制作与专业过程视角。</x:v>
      </x:c>
      <x:c r="G32" s="15" t="str">
        <x:v>只用真实制作记录及允许公开的版本。</x:v>
      </x:c>
      <x:c r="H32" s="15" t="str">
        <x:v>F3 / H2</x:v>
      </x:c>
      <x:c r="I32" s="20" t="str">
        <x:v>待确认</x:v>
      </x:c>
      <x:c r="J32" s="20"/>
      <x:c r="K32" s="21"/>
      <x:c r="L32" s="20"/>
      <x:c r="M32" s="20"/>
      <x:c r="N32" s="15" t="str">
        <x:v>1 条建议</x:v>
      </x:c>
      <x:c r="O32" s="15" t="str">
        <x:v>11:50–13:53；41:32–41:40；13:12–13:53；42:06–42:22；45:30–46:23</x:v>
      </x:c>
    </x:row>
    <x:row r="33" ht="104" customHeight="1">
      <x:c r="A33" s="31" t="n">
        <x:v>46287</x:v>
      </x:c>
      <x:c r="B33" s="18" t="str">
        <x:v>郑允书</x:v>
      </x:c>
      <x:c r="C33" s="18" t="str">
        <x:v>发布</x:v>
      </x:c>
      <x:c r="D33" s="18" t="str">
        <x:v>郑允书人物亮相</x:v>
      </x:c>
      <x:c r="E33" s="18" t="str">
        <x:v>单人氛围或人物写真，以获准角色信息介绍。</x:v>
      </x:c>
      <x:c r="F33" s="18" t="str">
        <x:v>按当天内容接方舟智创与 yoyo 虚拟人号；具体账号链接由运营补齐。</x:v>
      </x:c>
      <x:c r="G33" s="18" t="str">
        <x:v>账号身份、角色版本与可用素材先核准。</x:v>
      </x:c>
      <x:c r="H33" s="18" t="str">
        <x:v>D1 / H3</x:v>
      </x:c>
      <x:c r="I33" s="20" t="str">
        <x:v>待确认</x:v>
      </x:c>
      <x:c r="J33" s="20"/>
      <x:c r="K33" s="21"/>
      <x:c r="L33" s="20"/>
      <x:c r="M33" s="20"/>
      <x:c r="N33" s="18" t="str">
        <x:v>1 条建议</x:v>
      </x:c>
      <x:c r="O33" s="18" t="str">
        <x:v>09:10–09:42；38:19–39:40；29:30–30:21</x:v>
      </x:c>
    </x:row>
    <x:row r="34" ht="104" customHeight="1">
      <x:c r="A34" s="30" t="n">
        <x:v>46287</x:v>
      </x:c>
      <x:c r="B34" s="15" t="str">
        <x:v>yoyo虚拟人号</x:v>
      </x:c>
      <x:c r="C34" s="15" t="str">
        <x:v>发布</x:v>
      </x:c>
      <x:c r="D34" s="15" t="str">
        <x:v>衣服怎样进入她的日常</x:v>
      </x:c>
      <x:c r="E34" s="15" t="str">
        <x:v>把前面选装结果放入一个生活动作，避免纯静态走马灯。</x:v>
      </x:c>
      <x:c r="F34" s="15" t="str">
        <x:v>可与 E1 相互引用，让观众看到判断与结果。</x:v>
      </x:c>
      <x:c r="G34" s="15" t="str">
        <x:v>真人过程与虚拟结果确实对应同一套造型。</x:v>
      </x:c>
      <x:c r="H34" s="15" t="str">
        <x:v>B3</x:v>
      </x:c>
      <x:c r="I34" s="20" t="str">
        <x:v>待确认</x:v>
      </x:c>
      <x:c r="J34" s="20"/>
      <x:c r="K34" s="21"/>
      <x:c r="L34" s="20"/>
      <x:c r="M34" s="20"/>
      <x:c r="N34" s="15" t="str">
        <x:v>1 条建议</x:v>
      </x:c>
      <x:c r="O34" s="15" t="str">
        <x:v>06:57；34:50–36:24；16:25–17:28</x:v>
      </x:c>
    </x:row>
    <x:row r="35" ht="104" customHeight="1">
      <x:c r="A35" s="31" t="n">
        <x:v>46287</x:v>
      </x:c>
      <x:c r="B35" s="18" t="str">
        <x:v>营销号</x:v>
      </x:c>
      <x:c r="C35" s="18" t="str">
        <x:v>筹备</x:v>
      </x:c>
      <x:c r="D35" s="18" t="str">
        <x:v>第一轮低价 BD</x:v>
      </x:c>
      <x:c r="E35" s="18" t="str">
        <x:v>以最低可执行价格谈；写清条数、原创重剪、上线日、留存、修改和验收凭证。</x:v>
      </x:c>
      <x:c r="F35" s="18" t="str">
        <x:v>方舟智创提供已审简介、先导或已播高光；成熟 AI 剧账号独立重剪，按约定日期集中发布。</x:v>
      </x:c>
      <x:c r="G35" s="18" t="str">
        <x:v>这是 BD 工作计划；实际名单、金额与签约量待落实。</x:v>
      </x:c>
      <x:c r="H35" s="18" t="str">
        <x:v>K5</x:v>
      </x:c>
      <x:c r="I35" s="20" t="str">
        <x:v>待确认</x:v>
      </x:c>
      <x:c r="J35" s="20"/>
      <x:c r="K35" s="21"/>
      <x:c r="L35" s="20"/>
      <x:c r="M35" s="20"/>
      <x:c r="N35" s="18" t="str">
        <x:v>当天执行</x:v>
      </x:c>
      <x:c r="O35" s="18" t="str">
        <x:v>04:27–05:34；19:55–20:05；43:54；此前 U51</x:v>
      </x:c>
    </x:row>
    <x:row r="36" ht="104" customHeight="1">
      <x:c r="A36" s="30" t="n">
        <x:v>46288</x:v>
      </x:c>
      <x:c r="B36" s="15" t="str">
        <x:v>yoyo真人小号</x:v>
      </x:c>
      <x:c r="C36" s="15" t="str">
        <x:v>发布</x:v>
      </x:c>
      <x:c r="D36" s="15" t="str">
        <x:v>真人动作，接到虚拟分身</x:v>
      </x:c>
      <x:c r="E36" s="15" t="str">
        <x:v>约两秒真人开头接虚拟动作；先对齐机位、姿势和服装再补拍。</x:v>
      </x:c>
      <x:c r="F36" s="15" t="str">
        <x:v>虚拟号在自己的日常时段发另一视角，互相标注入口。</x:v>
      </x:c>
      <x:c r="G36" s="15" t="str">
        <x:v>转场样片过审；真人/虚拟两端都可交付。</x:v>
      </x:c>
      <x:c r="H36" s="15" t="str">
        <x:v>C4</x:v>
      </x:c>
      <x:c r="I36" s="20" t="str">
        <x:v>待确认</x:v>
      </x:c>
      <x:c r="J36" s="20"/>
      <x:c r="K36" s="21"/>
      <x:c r="L36" s="20"/>
      <x:c r="M36" s="20"/>
      <x:c r="N36" s="15" t="str">
        <x:v>1 条建议</x:v>
      </x:c>
      <x:c r="O36" s="15" t="str">
        <x:v>07:46–08:12；37:30–37:50</x:v>
      </x:c>
    </x:row>
    <x:row r="37" ht="104" customHeight="1">
      <x:c r="A37" s="31" t="n">
        <x:v>46288</x:v>
      </x:c>
      <x:c r="B37" s="18" t="str">
        <x:v>yoyo虚拟人号</x:v>
      </x:c>
      <x:c r="C37" s="18" t="str">
        <x:v>发布</x:v>
      </x:c>
      <x:c r="D37" s="18" t="str">
        <x:v>转场之后，她的一天</x:v>
      </x:c>
      <x:c r="E37" s="18" t="str">
        <x:v>延续 C4 的同一动作做虚拟端日常；可直接作为联动另一半。</x:v>
      </x:c>
      <x:c r="F37" s="18" t="str">
        <x:v>接真人小号 C4，保留各自表达而非同片复制。</x:v>
      </x:c>
      <x:c r="G37" s="18" t="str">
        <x:v>C4 未就绪时换普通日常，避免独立内容无法理解。</x:v>
      </x:c>
      <x:c r="H37" s="18" t="str">
        <x:v>B1</x:v>
      </x:c>
      <x:c r="I37" s="20" t="str">
        <x:v>待确认</x:v>
      </x:c>
      <x:c r="J37" s="20"/>
      <x:c r="K37" s="21"/>
      <x:c r="L37" s="20"/>
      <x:c r="M37" s="20"/>
      <x:c r="N37" s="18" t="str">
        <x:v>1 条建议</x:v>
      </x:c>
      <x:c r="O37" s="18" t="str">
        <x:v>06:20；34:58–36:24</x:v>
      </x:c>
    </x:row>
    <x:row r="38" ht="104" customHeight="1">
      <x:c r="A38" s="30" t="n">
        <x:v>46288</x:v>
      </x:c>
      <x:c r="B38" s="15" t="str">
        <x:v>营销号</x:v>
      </x:c>
      <x:c r="C38" s="15" t="str">
        <x:v>筹备</x:v>
      </x:c>
      <x:c r="D38" s="15" t="str">
        <x:v>扩充并去重候选池</x:v>
      </x:c>
      <x:c r="E38" s="15" t="str">
        <x:v>按同一机构、同一账号与重叠受众去重，扩展到相关 AI 剧创作者。</x:v>
      </x:c>
      <x:c r="F38" s="15" t="str">
        <x:v>方舟智创提供已审简介、先导或已播高光；成熟 AI 剧账号独立重剪，按约定日期集中发布。</x:v>
      </x:c>
      <x:c r="G38" s="15" t="str">
        <x:v>这是 BD 工作计划；实际名单、金额与签约量待落实。</x:v>
      </x:c>
      <x:c r="H38" s="15" t="str">
        <x:v>K5</x:v>
      </x:c>
      <x:c r="I38" s="20" t="str">
        <x:v>待确认</x:v>
      </x:c>
      <x:c r="J38" s="20"/>
      <x:c r="K38" s="21"/>
      <x:c r="L38" s="20"/>
      <x:c r="M38" s="20"/>
      <x:c r="N38" s="15" t="str">
        <x:v>当天执行</x:v>
      </x:c>
      <x:c r="O38" s="15" t="str">
        <x:v>04:27–05:34；19:55–20:05；43:54；此前 U51</x:v>
      </x:c>
    </x:row>
    <x:row r="39" ht="104" customHeight="1">
      <x:c r="A39" s="31" t="n">
        <x:v>46289</x:v>
      </x:c>
      <x:c r="B39" s="18" t="str">
        <x:v>方舟AI</x:v>
      </x:c>
      <x:c r="C39" s="18" t="str">
        <x:v>发布</x:v>
      </x:c>
      <x:c r="D39" s="18" t="str">
        <x:v>这处空间是怎样做出来的</x:v>
      </x:c>
      <x:c r="E39" s="18" t="str">
        <x:v>用真实工作文件和屏幕记录展示一个制作问题及解决结果。</x:v>
      </x:c>
      <x:c r="F39" s="18" t="str">
        <x:v>方舟智创择优接成果；虚拟号保留角色内的日常表达。</x:v>
      </x:c>
      <x:c r="G39" s="18" t="str">
        <x:v>F3 为同类候选，先确认是否选做；不展示未公开资产。</x:v>
      </x:c>
      <x:c r="H39" s="18" t="str">
        <x:v>F3</x:v>
      </x:c>
      <x:c r="I39" s="20" t="str">
        <x:v>待确认</x:v>
      </x:c>
      <x:c r="J39" s="20"/>
      <x:c r="K39" s="21"/>
      <x:c r="L39" s="20"/>
      <x:c r="M39" s="20"/>
      <x:c r="N39" s="18" t="str">
        <x:v>1 条建议</x:v>
      </x:c>
      <x:c r="O39" s="18" t="str">
        <x:v>11:50–13:53；41:32–41:40</x:v>
      </x:c>
    </x:row>
    <x:row r="40" ht="104" customHeight="1">
      <x:c r="A40" s="30" t="n">
        <x:v>46289</x:v>
      </x:c>
      <x:c r="B40" s="15" t="str">
        <x:v>yoyo矩阵号</x:v>
      </x:c>
      <x:c r="C40" s="15" t="str">
        <x:v>发布</x:v>
      </x:c>
      <x:c r="D40" s="15" t="str">
        <x:v>适配矩阵号试发一条穿搭</x:v>
      </x:c>
      <x:c r="E40" s="15" t="str">
        <x:v>选与本号风格一致的虚拟人穿搭；如带商品，先核准造型与商品。</x:v>
      </x:c>
      <x:c r="F40" s="15" t="str">
        <x:v>按当天内容接方舟智创与 yoyo 虚拟人号；具体账号链接由运营补齐。</x:v>
      </x:c>
      <x:c r="G40" s="15" t="str">
        <x:v>矩阵是否全量参与仍有分歧；只安排筛选后同意参与的账号。</x:v>
      </x:c>
      <x:c r="H40" s="15" t="str">
        <x:v>B3 / H2 / K3</x:v>
      </x:c>
      <x:c r="I40" s="20" t="str">
        <x:v>待确认</x:v>
      </x:c>
      <x:c r="J40" s="20"/>
      <x:c r="K40" s="21"/>
      <x:c r="L40" s="20"/>
      <x:c r="M40" s="20"/>
      <x:c r="N40" s="15" t="str">
        <x:v>1 条建议</x:v>
      </x:c>
      <x:c r="O40" s="15" t="str">
        <x:v>06:57；34:50–36:24；16:25–17:28；13:12–13:53；42:06–42:22；45:30–46:23；15:20–17:28；43:21–43:54</x:v>
      </x:c>
    </x:row>
    <x:row r="41" ht="104" customHeight="1">
      <x:c r="A41" s="31" t="n">
        <x:v>46289</x:v>
      </x:c>
      <x:c r="B41" s="18" t="str">
        <x:v>陆文川账号（未申请）</x:v>
      </x:c>
      <x:c r="C41" s="18" t="str">
        <x:v>筹备</x:v>
      </x:c>
      <x:c r="D41" s="18" t="str">
        <x:v>完成第一条角色亮相样片</x:v>
      </x:c>
      <x:c r="E41" s="18" t="str">
        <x:v>单人氛围/高光，避免在上线前泄露角色后续情节。</x:v>
      </x:c>
      <x:c r="F41" s="18" t="str">
        <x:v>相关人物号用自己的视角回应，指向同一厂牌/正片入口；不强制每号复制同片。</x:v>
      </x:c>
      <x:c r="G41" s="18" t="str">
        <x:v>当前状态仍为未申请；所有后续发布以开通交接为前提。</x:v>
      </x:c>
      <x:c r="H41" s="18" t="str">
        <x:v>D1</x:v>
      </x:c>
      <x:c r="I41" s="20" t="str">
        <x:v>待确认</x:v>
      </x:c>
      <x:c r="J41" s="20"/>
      <x:c r="K41" s="21"/>
      <x:c r="L41" s="20"/>
      <x:c r="M41" s="20"/>
      <x:c r="N41" s="18" t="str">
        <x:v>当天执行</x:v>
      </x:c>
      <x:c r="O41" s="18" t="str">
        <x:v>09:10–09:42；38:19–39:40</x:v>
      </x:c>
    </x:row>
    <x:row r="42" ht="104" customHeight="1">
      <x:c r="A42" s="30" t="n">
        <x:v>46289</x:v>
      </x:c>
      <x:c r="B42" s="15" t="str">
        <x:v>yoyo虚拟人号</x:v>
      </x:c>
      <x:c r="C42" s="15" t="str">
        <x:v>发布</x:v>
      </x:c>
      <x:c r="D42" s="15" t="str">
        <x:v>一处空间，一次停留</x:v>
      </x:c>
      <x:c r="E42" s="15" t="str">
        <x:v>庭院或已允许公开的教堂空间氛围；选一个动作，不提前交代救人情节。</x:v>
      </x:c>
      <x:c r="F42" s="15" t="str">
        <x:v>把观众对空间的疑问留作下次创作回复。</x:v>
      </x:c>
      <x:c r="G42" s="15" t="str">
        <x:v>教堂/庭院正式资产与公开范围确认。</x:v>
      </x:c>
      <x:c r="H42" s="15" t="str">
        <x:v>B2</x:v>
      </x:c>
      <x:c r="I42" s="20" t="str">
        <x:v>待确认</x:v>
      </x:c>
      <x:c r="J42" s="20"/>
      <x:c r="K42" s="21"/>
      <x:c r="L42" s="20"/>
      <x:c r="M42" s="20"/>
      <x:c r="N42" s="15" t="str">
        <x:v>1 条建议</x:v>
      </x:c>
      <x:c r="O42" s="15" t="str">
        <x:v>06:20–06:40；35:59–36:51</x:v>
      </x:c>
    </x:row>
    <x:row r="43" ht="104" customHeight="1">
      <x:c r="A43" s="31" t="n">
        <x:v>46289</x:v>
      </x:c>
      <x:c r="B43" s="18" t="str">
        <x:v>营销号</x:v>
      </x:c>
      <x:c r="C43" s="18" t="str">
        <x:v>筹备</x:v>
      </x:c>
      <x:c r="D43" s="18" t="str">
        <x:v>看首批合作试剪</x:v>
      </x:c>
      <x:c r="E43" s="18" t="str">
        <x:v>给获准的无剧透先导样本；由熟悉 AI 剧的账号自行找剪法。</x:v>
      </x:c>
      <x:c r="F43" s="18" t="str">
        <x:v>方舟智创提供已审简介、先导或已播高光；成熟 AI 剧账号独立重剪，按约定日期集中发布。</x:v>
      </x:c>
      <x:c r="G43" s="18" t="str">
        <x:v>这是 BD 工作计划；实际名单、金额与签约量待落实。</x:v>
      </x:c>
      <x:c r="H43" s="18" t="str">
        <x:v>K5</x:v>
      </x:c>
      <x:c r="I43" s="20" t="str">
        <x:v>待确认</x:v>
      </x:c>
      <x:c r="J43" s="20"/>
      <x:c r="K43" s="21"/>
      <x:c r="L43" s="20"/>
      <x:c r="M43" s="20"/>
      <x:c r="N43" s="18" t="str">
        <x:v>当天执行</x:v>
      </x:c>
      <x:c r="O43" s="18" t="str">
        <x:v>04:27–05:34；19:55–20:05；43:54；此前 U51</x:v>
      </x:c>
    </x:row>
    <x:row r="44" ht="104" customHeight="1">
      <x:c r="A44" s="30" t="n">
        <x:v>46290</x:v>
      </x:c>
      <x:c r="B44" s="15" t="str">
        <x:v>方舟智创</x:v>
      </x:c>
      <x:c r="C44" s="15" t="str">
        <x:v>筹备</x:v>
      </x:c>
      <x:c r="D44" s="15" t="str">
        <x:v>剪教堂先导和主预告</x:v>
      </x:c>
      <x:c r="E44" s="15" t="str">
        <x:v>教堂先导优先；短版约 8–10 秒、主版约 20–30 秒为会议建议。</x:v>
      </x:c>
      <x:c r="F44" s="15" t="str">
        <x:v>方舟智创统一发布准确作品信息，其他已确认账号按当天各自内容接续。</x:v>
      </x:c>
      <x:c r="G44" s="15" t="str">
        <x:v>10/10 为本版筹备目标，确认后才能对外定档。</x:v>
      </x:c>
      <x:c r="H44" s="15" t="str">
        <x:v>A1 / A2 / A3 / A4 / A5</x:v>
      </x:c>
      <x:c r="I44" s="20" t="str">
        <x:v>待确认</x:v>
      </x:c>
      <x:c r="J44" s="20"/>
      <x:c r="K44" s="21"/>
      <x:c r="L44" s="20"/>
      <x:c r="M44" s="20"/>
      <x:c r="N44" s="15" t="str">
        <x:v>当天执行</x:v>
      </x:c>
      <x:c r="O44" s="15" t="str">
        <x:v>00:21–00:38；28:55–30:32；32:35–34:43；00:38；31:29–31:46；18:10–19:04；00:59；27:48–28:53；34:11；05:59；18:32；19:04；19:29–20:05；43:54；44:09–44:54</x:v>
      </x:c>
    </x:row>
    <x:row r="45" ht="104" customHeight="1">
      <x:c r="A45" s="31" t="n">
        <x:v>46290</x:v>
      </x:c>
      <x:c r="B45" s="18" t="str">
        <x:v>yoyo虚拟人号</x:v>
      </x:c>
      <x:c r="C45" s="18" t="str">
        <x:v>发布</x:v>
      </x:c>
      <x:c r="D45" s="18" t="str">
        <x:v>第二周的穿搭更新</x:v>
      </x:c>
      <x:c r="E45" s="18" t="str">
        <x:v>延续栏目形式，用新的获选造型或同造型新情境更新。</x:v>
      </x:c>
      <x:c r="F45" s="18" t="str">
        <x:v>不把换封面算作新内容；缺素材则降低频次。</x:v>
      </x:c>
      <x:c r="G45" s="18" t="str">
        <x:v>可用造型和虚拟制作产能。</x:v>
      </x:c>
      <x:c r="H45" s="18" t="str">
        <x:v>B3</x:v>
      </x:c>
      <x:c r="I45" s="20" t="str">
        <x:v>待确认</x:v>
      </x:c>
      <x:c r="J45" s="20"/>
      <x:c r="K45" s="21"/>
      <x:c r="L45" s="20"/>
      <x:c r="M45" s="20"/>
      <x:c r="N45" s="18" t="str">
        <x:v>1 条建议</x:v>
      </x:c>
      <x:c r="O45" s="18" t="str">
        <x:v>06:57；34:50–36:24；16:25–17:28</x:v>
      </x:c>
    </x:row>
    <x:row r="46" ht="104" customHeight="1">
      <x:c r="A46" s="30" t="n">
        <x:v>46290</x:v>
      </x:c>
      <x:c r="B46" s="15" t="str">
        <x:v>营销号</x:v>
      </x:c>
      <x:c r="C46" s="15" t="str">
        <x:v>筹备</x:v>
      </x:c>
      <x:c r="D46" s="15" t="str">
        <x:v>比较真实报价和试剪质量</x:v>
      </x:c>
      <x:c r="E46" s="15" t="str">
        <x:v>相同交付条件下选低价且可执行者，记录不能接受的条件。</x:v>
      </x:c>
      <x:c r="F46" s="15" t="str">
        <x:v>方舟智创提供已审简介、先导或已播高光；成熟 AI 剧账号独立重剪，按约定日期集中发布。</x:v>
      </x:c>
      <x:c r="G46" s="15" t="str">
        <x:v>这是 BD 工作计划；实际名单、金额与签约量待落实。</x:v>
      </x:c>
      <x:c r="H46" s="15" t="str">
        <x:v>K5</x:v>
      </x:c>
      <x:c r="I46" s="20" t="str">
        <x:v>待确认</x:v>
      </x:c>
      <x:c r="J46" s="20"/>
      <x:c r="K46" s="21"/>
      <x:c r="L46" s="20"/>
      <x:c r="M46" s="20"/>
      <x:c r="N46" s="15" t="str">
        <x:v>当天执行</x:v>
      </x:c>
      <x:c r="O46" s="15" t="str">
        <x:v>04:27–05:34；19:55–20:05；43:54；此前 U51</x:v>
      </x:c>
    </x:row>
    <x:row r="47" ht="104" customHeight="1">
      <x:c r="A47" s="31" t="n">
        <x:v>46290</x:v>
      </x:c>
      <x:c r="B47" s="18" t="str">
        <x:v>切片号</x:v>
      </x:c>
      <x:c r="C47" s="18" t="str">
        <x:v>筹备</x:v>
      </x:c>
      <x:c r="D47" s="18" t="str">
        <x:v>准备一次可剪的真人讲剧采集</x:v>
      </x:c>
      <x:c r="E47" s="18" t="str">
        <x:v>约直播或真实谈话，收清楚原声；给出可公开的作品画面。</x:v>
      </x:c>
      <x:c r="F47" s="18" t="str">
        <x:v>yoyo 真人直播/看片原料交切片团队；切片号带准确正片入口，发片后回传链接。</x:v>
      </x:c>
      <x:c r="G47" s="18" t="str">
        <x:v>真人切片池与 AI 剧营销号池分开，不重复算同一批资源。</x:v>
      </x:c>
      <x:c r="H47" s="18" t="str">
        <x:v>J1 / C5 / K5</x:v>
      </x:c>
      <x:c r="I47" s="20" t="str">
        <x:v>待确认</x:v>
      </x:c>
      <x:c r="J47" s="20"/>
      <x:c r="K47" s="21"/>
      <x:c r="L47" s="20"/>
      <x:c r="M47" s="20"/>
      <x:c r="N47" s="18" t="str">
        <x:v>当天执行</x:v>
      </x:c>
      <x:c r="O47" s="18" t="str">
        <x:v>04:27–05:34；14:25；19:04–19:29；08:35–09:10；37:50–38:12；04:27–05:34；19:55–20:05；43:54；此前 U51</x:v>
      </x:c>
    </x:row>
    <x:row r="48" ht="104" customHeight="1">
      <x:c r="A48" s="30" t="n">
        <x:v>46291</x:v>
      </x:c>
      <x:c r="B48" s="15" t="str">
        <x:v>方舟AI</x:v>
      </x:c>
      <x:c r="C48" s="15" t="str">
        <x:v>发布</x:v>
      </x:c>
      <x:c r="D48" s="15" t="str">
        <x:v>发布声音前后对照</x:v>
      </x:c>
      <x:c r="E48" s="15" t="str">
        <x:v>用允许公开片段讲无音乐/有音乐的观感差别。</x:v>
      </x:c>
      <x:c r="F48" s="15" t="str">
        <x:v>与方舟智创的作品发布对应，本号保留真实制作与专业过程视角。</x:v>
      </x:c>
      <x:c r="G48" s="15" t="str">
        <x:v>只用真实制作记录及允许公开的版本。</x:v>
      </x:c>
      <x:c r="H48" s="15" t="str">
        <x:v>F4 / F5</x:v>
      </x:c>
      <x:c r="I48" s="20" t="str">
        <x:v>待确认</x:v>
      </x:c>
      <x:c r="J48" s="20"/>
      <x:c r="K48" s="21"/>
      <x:c r="L48" s="20"/>
      <x:c r="M48" s="20"/>
      <x:c r="N48" s="15" t="str">
        <x:v>1 条建议</x:v>
      </x:c>
      <x:c r="O48" s="15" t="str">
        <x:v>13:53–14:10；41:40–42:22</x:v>
      </x:c>
    </x:row>
    <x:row r="49" ht="104" customHeight="1">
      <x:c r="A49" s="31" t="n">
        <x:v>46291</x:v>
      </x:c>
      <x:c r="B49" s="18" t="str">
        <x:v>yoyo矩阵号</x:v>
      </x:c>
      <x:c r="C49" s="18" t="str">
        <x:v>筹备</x:v>
      </x:c>
      <x:c r="D49" s="18" t="str">
        <x:v>复盘试发，决定参与名单</x:v>
      </x:c>
      <x:c r="E49" s="18" t="str">
        <x:v>看受众反馈与原有业务影响，保留适配号。</x:v>
      </x:c>
      <x:c r="F49" s="18" t="str">
        <x:v>按当天内容接方舟智创与 yoyo 虚拟人号；具体账号链接由运营补齐。</x:v>
      </x:c>
      <x:c r="G49" s="18" t="str">
        <x:v>矩阵是否全量参与仍有分歧；只安排筛选后同意参与的账号。</x:v>
      </x:c>
      <x:c r="H49" s="18" t="str">
        <x:v>B3 / H2 / K3</x:v>
      </x:c>
      <x:c r="I49" s="20" t="str">
        <x:v>待确认</x:v>
      </x:c>
      <x:c r="J49" s="20"/>
      <x:c r="K49" s="21"/>
      <x:c r="L49" s="20"/>
      <x:c r="M49" s="20"/>
      <x:c r="N49" s="18" t="str">
        <x:v>当天执行</x:v>
      </x:c>
      <x:c r="O49" s="18" t="str">
        <x:v>06:57；34:50–36:24；16:25–17:28；13:12–13:53；42:06–42:22；45:30–46:23；15:20–17:28；43:21–43:54</x:v>
      </x:c>
    </x:row>
    <x:row r="50" ht="104" customHeight="1">
      <x:c r="A50" s="30" t="n">
        <x:v>46291</x:v>
      </x:c>
      <x:c r="B50" s="15" t="str">
        <x:v>yoyo真人小号</x:v>
      </x:c>
      <x:c r="C50" s="15" t="str">
        <x:v>发布</x:v>
      </x:c>
      <x:c r="D50" s="15" t="str">
        <x:v>真人答一问：为什么做分身</x:v>
      </x:c>
      <x:c r="E50" s="15" t="str">
        <x:v>对已出现的一个问题做简短回应，说明创作关系与审美判断。</x:v>
      </x:c>
      <x:c r="F50" s="15" t="str">
        <x:v>直播切片池可在有合适原料时接续。</x:v>
      </x:c>
      <x:c r="G50" s="15" t="str">
        <x:v>问题和回答由本人确认；不代填观点。</x:v>
      </x:c>
      <x:c r="H50" s="15" t="str">
        <x:v>J6</x:v>
      </x:c>
      <x:c r="I50" s="20" t="str">
        <x:v>待确认</x:v>
      </x:c>
      <x:c r="J50" s="20"/>
      <x:c r="K50" s="21"/>
      <x:c r="L50" s="20"/>
      <x:c r="M50" s="20"/>
      <x:c r="N50" s="15" t="str">
        <x:v>1 条建议</x:v>
      </x:c>
      <x:c r="O50" s="15" t="str">
        <x:v>15:20；42:35–42:51</x:v>
      </x:c>
    </x:row>
    <x:row r="51" ht="104" customHeight="1">
      <x:c r="A51" s="31" t="n">
        <x:v>46291</x:v>
      </x:c>
      <x:c r="B51" s="18" t="str">
        <x:v>yoyo虚拟人号</x:v>
      </x:c>
      <x:c r="C51" s="18" t="str">
        <x:v>发布</x:v>
      </x:c>
      <x:c r="D51" s="18" t="str">
        <x:v>从观众留言延伸一个动作</x:v>
      </x:c>
      <x:c r="E51" s="18" t="str">
        <x:v>选择不涉及剧情的真实留言，把回应放进日常画面。</x:v>
      </x:c>
      <x:c r="F51" s="18" t="str">
        <x:v>只引用真实留言；真人 Q&amp;A 可另行承接。</x:v>
      </x:c>
      <x:c r="G51" s="18" t="str">
        <x:v>留言适合公开，表达不编造真人生活经历。</x:v>
      </x:c>
      <x:c r="H51" s="18" t="str">
        <x:v>B1</x:v>
      </x:c>
      <x:c r="I51" s="20" t="str">
        <x:v>待确认</x:v>
      </x:c>
      <x:c r="J51" s="20"/>
      <x:c r="K51" s="21"/>
      <x:c r="L51" s="20"/>
      <x:c r="M51" s="20"/>
      <x:c r="N51" s="18" t="str">
        <x:v>1 条建议</x:v>
      </x:c>
      <x:c r="O51" s="18" t="str">
        <x:v>06:20；34:58–36:24</x:v>
      </x:c>
    </x:row>
    <x:row r="52" ht="104" customHeight="1">
      <x:c r="A52" s="30" t="n">
        <x:v>46291</x:v>
      </x:c>
      <x:c r="B52" s="15" t="str">
        <x:v>营销号</x:v>
      </x:c>
      <x:c r="C52" s="15" t="str">
        <x:v>筹备</x:v>
      </x:c>
      <x:c r="D52" s="15" t="str">
        <x:v>第二轮 BD 与批量谈价</x:v>
      </x:c>
      <x:c r="E52" s="15" t="str">
        <x:v>优先已经会剪出流量的账号，谈连续发片和批量采购。</x:v>
      </x:c>
      <x:c r="F52" s="15" t="str">
        <x:v>方舟智创提供已审简介、先导或已播高光；成熟 AI 剧账号独立重剪，按约定日期集中发布。</x:v>
      </x:c>
      <x:c r="G52" s="15" t="str">
        <x:v>这是 BD 工作计划；实际名单、金额与签约量待落实。</x:v>
      </x:c>
      <x:c r="H52" s="15" t="str">
        <x:v>K5</x:v>
      </x:c>
      <x:c r="I52" s="20" t="str">
        <x:v>待确认</x:v>
      </x:c>
      <x:c r="J52" s="20"/>
      <x:c r="K52" s="21"/>
      <x:c r="L52" s="20"/>
      <x:c r="M52" s="20"/>
      <x:c r="N52" s="15" t="str">
        <x:v>当天执行</x:v>
      </x:c>
      <x:c r="O52" s="15" t="str">
        <x:v>04:27–05:34；19:55–20:05；43:54；此前 U51</x:v>
      </x:c>
    </x:row>
    <x:row r="53" ht="104" customHeight="1">
      <x:c r="A53" s="31" t="n">
        <x:v>46292</x:v>
      </x:c>
      <x:c r="B53" s="18" t="str">
        <x:v>yoyo真人小号</x:v>
      </x:c>
      <x:c r="C53" s="18" t="str">
        <x:v>筹备</x:v>
      </x:c>
      <x:c r="D53" s="18" t="str">
        <x:v>录看片与修改过程</x:v>
      </x:c>
      <x:c r="E53" s="18" t="str">
        <x:v>同次采集 E4/E5/E6，不要求分别拍三次。</x:v>
      </x:c>
      <x:c r="F53" s="18" t="str">
        <x:v>按当天内容接方舟智创与 yoyo 虚拟人号；具体账号链接由运营补齐。</x:v>
      </x:c>
      <x:c r="G53" s="18" t="str">
        <x:v>须实际约到人、拍到内容，不能以补演冒充幕后。</x:v>
      </x:c>
      <x:c r="H53" s="18" t="str">
        <x:v>E1 / E3 / E4 / E5 / E6</x:v>
      </x:c>
      <x:c r="I53" s="20" t="str">
        <x:v>待确认</x:v>
      </x:c>
      <x:c r="J53" s="20"/>
      <x:c r="K53" s="21"/>
      <x:c r="L53" s="20"/>
      <x:c r="M53" s="20"/>
      <x:c r="N53" s="18" t="str">
        <x:v>当天执行</x:v>
      </x:c>
      <x:c r="O53" s="18" t="str">
        <x:v>09:42–11:21；39:44–41:28；40:27–41:32</x:v>
      </x:c>
    </x:row>
    <x:row r="54" ht="104" customHeight="1">
      <x:c r="A54" s="30" t="n">
        <x:v>46292</x:v>
      </x:c>
      <x:c r="B54" s="15" t="str">
        <x:v>陆文川账号（未申请）</x:v>
      </x:c>
      <x:c r="C54" s="15" t="str">
        <x:v>筹备</x:v>
      </x:c>
      <x:c r="D54" s="15" t="str">
        <x:v>验收账号和首发素材</x:v>
      </x:c>
      <x:c r="E54" s="15" t="str">
        <x:v>未申请成功就继续筹备，不把账号写成已开通。</x:v>
      </x:c>
      <x:c r="F54" s="15" t="str">
        <x:v>相关人物号用自己的视角回应，指向同一厂牌/正片入口；不强制每号复制同片。</x:v>
      </x:c>
      <x:c r="G54" s="15" t="str">
        <x:v>当前状态仍为未申请；所有后续发布以开通交接为前提。</x:v>
      </x:c>
      <x:c r="H54" s="15" t="str">
        <x:v>D1</x:v>
      </x:c>
      <x:c r="I54" s="20" t="str">
        <x:v>待确认</x:v>
      </x:c>
      <x:c r="J54" s="20"/>
      <x:c r="K54" s="21"/>
      <x:c r="L54" s="20"/>
      <x:c r="M54" s="20"/>
      <x:c r="N54" s="15" t="str">
        <x:v>当天执行</x:v>
      </x:c>
      <x:c r="O54" s="15" t="str">
        <x:v>09:10–09:42；38:19–39:40</x:v>
      </x:c>
    </x:row>
    <x:row r="55" ht="104" customHeight="1">
      <x:c r="A55" s="31" t="n">
        <x:v>46292</x:v>
      </x:c>
      <x:c r="B55" s="18" t="str">
        <x:v>郑允书</x:v>
      </x:c>
      <x:c r="C55" s="18" t="str">
        <x:v>发布</x:v>
      </x:c>
      <x:c r="D55" s="18" t="str">
        <x:v>郑允书的造型氛围</x:v>
      </x:c>
      <x:c r="E55" s="18" t="str">
        <x:v>展示一个获选造型或允许公开的空间片段。</x:v>
      </x:c>
      <x:c r="F55" s="18" t="str">
        <x:v>按当天内容接方舟智创与 yoyo 虚拟人号；具体账号链接由运营补齐。</x:v>
      </x:c>
      <x:c r="G55" s="18" t="str">
        <x:v>账号身份、角色版本与可用素材先核准。</x:v>
      </x:c>
      <x:c r="H55" s="18" t="str">
        <x:v>D1 / H3</x:v>
      </x:c>
      <x:c r="I55" s="20" t="str">
        <x:v>待确认</x:v>
      </x:c>
      <x:c r="J55" s="20"/>
      <x:c r="K55" s="21"/>
      <x:c r="L55" s="20"/>
      <x:c r="M55" s="20"/>
      <x:c r="N55" s="18" t="str">
        <x:v>1 条建议</x:v>
      </x:c>
      <x:c r="O55" s="18" t="str">
        <x:v>09:10–09:42；38:19–39:40；29:30–30:21</x:v>
      </x:c>
    </x:row>
    <x:row r="56" ht="104" customHeight="1">
      <x:c r="A56" s="30" t="n">
        <x:v>46292</x:v>
      </x:c>
      <x:c r="B56" s="15" t="str">
        <x:v>yoyo虚拟人号</x:v>
      </x:c>
      <x:c r="C56" s="15" t="str">
        <x:v>发布</x:v>
      </x:c>
      <x:c r="D56" s="15" t="str">
        <x:v>空间游历的第二站</x:v>
      </x:c>
      <x:c r="E56" s="15" t="str">
        <x:v>从已获准空间中换一个视角，维持 IP 日常的连续性。</x:v>
      </x:c>
      <x:c r="F56" s="15" t="str">
        <x:v>暂不公布未定档期；留向作品靠近的线索。</x:v>
      </x:c>
      <x:c r="G56" s="15" t="str">
        <x:v>场景与镜头过审。</x:v>
      </x:c>
      <x:c r="H56" s="15" t="str">
        <x:v>B2</x:v>
      </x:c>
      <x:c r="I56" s="20" t="str">
        <x:v>待确认</x:v>
      </x:c>
      <x:c r="J56" s="20"/>
      <x:c r="K56" s="21"/>
      <x:c r="L56" s="20"/>
      <x:c r="M56" s="20"/>
      <x:c r="N56" s="15" t="str">
        <x:v>1 条建议</x:v>
      </x:c>
      <x:c r="O56" s="15" t="str">
        <x:v>06:20–06:40；35:59–36:51</x:v>
      </x:c>
    </x:row>
    <x:row r="57" ht="104" customHeight="1">
      <x:c r="A57" s="31" t="n">
        <x:v>46292</x:v>
      </x:c>
      <x:c r="B57" s="18" t="str">
        <x:v>营销号</x:v>
      </x:c>
      <x:c r="C57" s="18" t="str">
        <x:v>筹备</x:v>
      </x:c>
      <x:c r="D57" s="18" t="str">
        <x:v>核对是否具备集中发布能力</x:v>
      </x:c>
      <x:c r="E57" s="18" t="str">
        <x:v>确认可联络、愿合作、已确认、能按期发布四个不同数量。</x:v>
      </x:c>
      <x:c r="F57" s="18" t="str">
        <x:v>方舟智创提供已审简介、先导或已播高光；成熟 AI 剧账号独立重剪，按约定日期集中发布。</x:v>
      </x:c>
      <x:c r="G57" s="18" t="str">
        <x:v>这是 BD 工作计划；实际名单、金额与签约量待落实。</x:v>
      </x:c>
      <x:c r="H57" s="18" t="str">
        <x:v>K5</x:v>
      </x:c>
      <x:c r="I57" s="20" t="str">
        <x:v>待确认</x:v>
      </x:c>
      <x:c r="J57" s="20"/>
      <x:c r="K57" s="21"/>
      <x:c r="L57" s="20"/>
      <x:c r="M57" s="20"/>
      <x:c r="N57" s="18" t="str">
        <x:v>当天执行</x:v>
      </x:c>
      <x:c r="O57" s="18" t="str">
        <x:v>04:27–05:34；19:55–20:05；43:54；此前 U51</x:v>
      </x:c>
    </x:row>
    <x:row r="58" ht="104" customHeight="1">
      <x:c r="A58" s="30" t="n">
        <x:v>46293</x:v>
      </x:c>
      <x:c r="B58" s="15" t="str">
        <x:v>方舟智创</x:v>
      </x:c>
      <x:c r="C58" s="15" t="str">
        <x:v>筹备</x:v>
      </x:c>
      <x:c r="D58" s="15" t="str">
        <x:v>核对首集与后续存片</x:v>
      </x:c>
      <x:c r="E58" s="15" t="str">
        <x:v>检查首集成片、至少两集后续库存目标与真实制作产能。</x:v>
      </x:c>
      <x:c r="F58" s="15" t="str">
        <x:v>方舟智创统一发布准确作品信息，其他已确认账号按当天各自内容接续。</x:v>
      </x:c>
      <x:c r="G58" s="15" t="str">
        <x:v>10/10 为本版筹备目标，确认后才能对外定档。</x:v>
      </x:c>
      <x:c r="H58" s="15" t="str">
        <x:v>A1 / A2 / A3 / A4 / A5</x:v>
      </x:c>
      <x:c r="I58" s="20" t="str">
        <x:v>待确认</x:v>
      </x:c>
      <x:c r="J58" s="20"/>
      <x:c r="K58" s="21"/>
      <x:c r="L58" s="20"/>
      <x:c r="M58" s="20"/>
      <x:c r="N58" s="15" t="str">
        <x:v>当天执行</x:v>
      </x:c>
      <x:c r="O58" s="15" t="str">
        <x:v>00:21–00:38；28:55–30:32；32:35–34:43；00:38；31:29–31:46；18:10–19:04；00:59；27:48–28:53；34:11；05:59；18:32；19:04；19:29–20:05；43:54；44:09–44:54</x:v>
      </x:c>
    </x:row>
    <x:row r="59" ht="104" customHeight="1">
      <x:c r="A59" s="31" t="n">
        <x:v>46293</x:v>
      </x:c>
      <x:c r="B59" s="18" t="str">
        <x:v>yoyo真人小号</x:v>
      </x:c>
      <x:c r="C59" s="18" t="str">
        <x:v>发布</x:v>
      </x:c>
      <x:c r="D59" s="18" t="str">
        <x:v>制片人的一天：看片与修改</x:v>
      </x:c>
      <x:c r="E59" s="18" t="str">
        <x:v>合并同次采集的表演判断、看片、制作取舍，聚焦一处真实修改。</x:v>
      </x:c>
      <x:c r="F59" s="18" t="str">
        <x:v>方舟账号发专业制作版；公开结果只用已允许镜头。</x:v>
      </x:c>
      <x:c r="G59" s="18" t="str">
        <x:v>实际已采集；无剧透版本可发，涉及剧情的改到当集后。</x:v>
      </x:c>
      <x:c r="H59" s="18" t="str">
        <x:v>E4 / E5 / E6</x:v>
      </x:c>
      <x:c r="I59" s="20" t="str">
        <x:v>待确认</x:v>
      </x:c>
      <x:c r="J59" s="20"/>
      <x:c r="K59" s="21"/>
      <x:c r="L59" s="20"/>
      <x:c r="M59" s="20"/>
      <x:c r="N59" s="18" t="str">
        <x:v>1 条建议</x:v>
      </x:c>
      <x:c r="O59" s="18" t="str">
        <x:v>40:27–41:32</x:v>
      </x:c>
    </x:row>
    <x:row r="60" ht="104" customHeight="1">
      <x:c r="A60" s="30" t="n">
        <x:v>46293</x:v>
      </x:c>
      <x:c r="B60" s="15" t="str">
        <x:v>陆文川账号（未申请）</x:v>
      </x:c>
      <x:c r="C60" s="15" t="str">
        <x:v>发布</x:v>
      </x:c>
      <x:c r="D60" s="15" t="str">
        <x:v>陆文川的第一次亮相</x:v>
      </x:c>
      <x:c r="E60" s="15" t="str">
        <x:v>用获选形象完成独立短片；简介接本剧身份。</x:v>
      </x:c>
      <x:c r="F60" s="15" t="str">
        <x:v>方舟智创可承接角色亮相内容。</x:v>
      </x:c>
      <x:c r="G60" s="15" t="str">
        <x:v>仅在账号申请、交接和样片通过后执行；否则取消此号发布。</x:v>
      </x:c>
      <x:c r="H60" s="15" t="str">
        <x:v>D1</x:v>
      </x:c>
      <x:c r="I60" s="20" t="str">
        <x:v>待确认</x:v>
      </x:c>
      <x:c r="J60" s="20"/>
      <x:c r="K60" s="21"/>
      <x:c r="L60" s="20"/>
      <x:c r="M60" s="20"/>
      <x:c r="N60" s="15" t="str">
        <x:v>1 条建议</x:v>
      </x:c>
      <x:c r="O60" s="15" t="str">
        <x:v>09:10–09:42；38:19–39:40</x:v>
      </x:c>
    </x:row>
    <x:row r="61" ht="104" customHeight="1">
      <x:c r="A61" s="31" t="n">
        <x:v>46293</x:v>
      </x:c>
      <x:c r="B61" s="18" t="str">
        <x:v>yoyo虚拟人号</x:v>
      </x:c>
      <x:c r="C61" s="18" t="str">
        <x:v>发布</x:v>
      </x:c>
      <x:c r="D61" s="18" t="str">
        <x:v>一个表情，一种情绪</x:v>
      </x:c>
      <x:c r="E61" s="18" t="str">
        <x:v>用轻情绪和日常动作建立人物亲近感。</x:v>
      </x:c>
      <x:c r="F61" s="18" t="str">
        <x:v>本条为 IP 生活表达，不作为剧中角色台词。</x:v>
      </x:c>
      <x:c r="G61" s="18" t="str">
        <x:v>表演自然、身份边界清楚。</x:v>
      </x:c>
      <x:c r="H61" s="18" t="str">
        <x:v>B1</x:v>
      </x:c>
      <x:c r="I61" s="20" t="str">
        <x:v>待确认</x:v>
      </x:c>
      <x:c r="J61" s="20"/>
      <x:c r="K61" s="21"/>
      <x:c r="L61" s="20"/>
      <x:c r="M61" s="20"/>
      <x:c r="N61" s="18" t="str">
        <x:v>1 条建议</x:v>
      </x:c>
      <x:c r="O61" s="18" t="str">
        <x:v>06:20；34:58–36:24</x:v>
      </x:c>
    </x:row>
    <x:row r="62" ht="104" customHeight="1">
      <x:c r="A62" s="30" t="n">
        <x:v>46293</x:v>
      </x:c>
      <x:c r="B62" s="15" t="str">
        <x:v>营销号</x:v>
      </x:c>
      <x:c r="C62" s="15" t="str">
        <x:v>筹备</x:v>
      </x:c>
      <x:c r="D62" s="15" t="str">
        <x:v>候选池向 500 个覆盖</x:v>
      </x:c>
      <x:c r="E62" s="15" t="str">
        <x:v>500 是建池目标，不等于签下或当天发出的账号数；符合条件的相关账号尽量覆盖。</x:v>
      </x:c>
      <x:c r="F62" s="15" t="str">
        <x:v>方舟智创提供已审简介、先导或已播高光；成熟 AI 剧账号独立重剪，按约定日期集中发布。</x:v>
      </x:c>
      <x:c r="G62" s="15" t="str">
        <x:v>这是 BD 工作计划；实际名单、金额与签约量待落实。</x:v>
      </x:c>
      <x:c r="H62" s="15" t="str">
        <x:v>K5</x:v>
      </x:c>
      <x:c r="I62" s="20" t="str">
        <x:v>待确认</x:v>
      </x:c>
      <x:c r="J62" s="20"/>
      <x:c r="K62" s="21"/>
      <x:c r="L62" s="20"/>
      <x:c r="M62" s="20"/>
      <x:c r="N62" s="15" t="str">
        <x:v>当天执行</x:v>
      </x:c>
      <x:c r="O62" s="15" t="str">
        <x:v>04:27–05:34；19:55–20:05；43:54；此前 U51</x:v>
      </x:c>
    </x:row>
    <x:row r="63" ht="104" customHeight="1">
      <x:c r="A63" s="31" t="n">
        <x:v>46294</x:v>
      </x:c>
      <x:c r="B63" s="18" t="str">
        <x:v>方舟AI</x:v>
      </x:c>
      <x:c r="C63" s="18" t="str">
        <x:v>发布</x:v>
      </x:c>
      <x:c r="D63" s="18" t="str">
        <x:v>发布表演修改前后对照</x:v>
      </x:c>
      <x:c r="E63" s="18" t="str">
        <x:v>从真实工作记录中选一处表情或动作修改。</x:v>
      </x:c>
      <x:c r="F63" s="18" t="str">
        <x:v>与方舟智创的作品发布对应，本号保留真实制作与专业过程视角。</x:v>
      </x:c>
      <x:c r="G63" s="18" t="str">
        <x:v>只用真实制作记录及允许公开的版本。</x:v>
      </x:c>
      <x:c r="H63" s="18" t="str">
        <x:v>F2 / F5</x:v>
      </x:c>
      <x:c r="I63" s="20" t="str">
        <x:v>待确认</x:v>
      </x:c>
      <x:c r="J63" s="20"/>
      <x:c r="K63" s="21"/>
      <x:c r="L63" s="20"/>
      <x:c r="M63" s="20"/>
      <x:c r="N63" s="18" t="str">
        <x:v>1 条建议</x:v>
      </x:c>
      <x:c r="O63" s="18" t="str">
        <x:v>11:50–13:53；41:32–41:40；13:53–14:10；41:40–42:22</x:v>
      </x:c>
    </x:row>
    <x:row r="64" ht="104" customHeight="1">
      <x:c r="A64" s="30" t="n">
        <x:v>46294</x:v>
      </x:c>
      <x:c r="B64" s="15" t="str">
        <x:v>yoyo大号</x:v>
      </x:c>
      <x:c r="C64" s="15" t="str">
        <x:v>筹备</x:v>
      </x:c>
      <x:c r="D64" s="15" t="str">
        <x:v>收主预告和参演介绍样片</x:v>
      </x:c>
      <x:c r="E64" s="15" t="str">
        <x:v>真人参演表达与视觉版本一起送看，由本人择优。</x:v>
      </x:c>
      <x:c r="F64" s="15" t="str">
        <x:v>按当天内容接方舟智创与 yoyo 虚拟人号；具体账号链接由运营补齐。</x:v>
      </x:c>
      <x:c r="G64" s="15" t="str">
        <x:v>大号发布由本人选片确认。</x:v>
      </x:c>
      <x:c r="H64" s="15" t="str">
        <x:v>C1 / A2</x:v>
      </x:c>
      <x:c r="I64" s="20" t="str">
        <x:v>待确认</x:v>
      </x:c>
      <x:c r="J64" s="20"/>
      <x:c r="K64" s="21"/>
      <x:c r="L64" s="20"/>
      <x:c r="M64" s="20"/>
      <x:c r="N64" s="15" t="str">
        <x:v>当天执行</x:v>
      </x:c>
      <x:c r="O64" s="15" t="str">
        <x:v>07:46；30:32–31:10；32:45–33:22；36:59–37:13；00:38；31:29–31:46；18:10–19:04</x:v>
      </x:c>
    </x:row>
    <x:row r="65" ht="104" customHeight="1">
      <x:c r="A65" s="31" t="n">
        <x:v>46294</x:v>
      </x:c>
      <x:c r="B65" s="18" t="str">
        <x:v>yoyo虚拟人号</x:v>
      </x:c>
      <x:c r="C65" s="18" t="str">
        <x:v>发布</x:v>
      </x:c>
      <x:c r="D65" s="18" t="str">
        <x:v>选装后的氛围成片</x:v>
      </x:c>
      <x:c r="E65" s="18" t="str">
        <x:v>用同一套服装完成一条可独立欣赏的日常片。</x:v>
      </x:c>
      <x:c r="F65" s="18" t="str">
        <x:v>与已公开的 E1 过程互相承接。</x:v>
      </x:c>
      <x:c r="G65" s="18" t="str">
        <x:v>选装记录与最终效果一致。</x:v>
      </x:c>
      <x:c r="H65" s="18" t="str">
        <x:v>B3</x:v>
      </x:c>
      <x:c r="I65" s="20" t="str">
        <x:v>待确认</x:v>
      </x:c>
      <x:c r="J65" s="20"/>
      <x:c r="K65" s="21"/>
      <x:c r="L65" s="20"/>
      <x:c r="M65" s="20"/>
      <x:c r="N65" s="18" t="str">
        <x:v>1 条建议</x:v>
      </x:c>
      <x:c r="O65" s="18" t="str">
        <x:v>06:57；34:50–36:24；16:25–17:28</x:v>
      </x:c>
    </x:row>
    <x:row r="66" ht="104" customHeight="1">
      <x:c r="A66" s="30" t="n">
        <x:v>46294</x:v>
      </x:c>
      <x:c r="B66" s="15" t="str">
        <x:v>营销号</x:v>
      </x:c>
      <x:c r="C66" s="15" t="str">
        <x:v>筹备</x:v>
      </x:c>
      <x:c r="D66" s="15" t="str">
        <x:v>分配预热版与播后版素材包</x:v>
      </x:c>
      <x:c r="E66" s="15" t="str">
        <x:v>先导/无剧透版用于预热；剧情高光包待对应正片公开。</x:v>
      </x:c>
      <x:c r="F66" s="15" t="str">
        <x:v>方舟智创提供已审简介、先导或已播高光；成熟 AI 剧账号独立重剪，按约定日期集中发布。</x:v>
      </x:c>
      <x:c r="G66" s="15" t="str">
        <x:v>这是 BD 工作计划；实际名单、金额与签约量待落实。</x:v>
      </x:c>
      <x:c r="H66" s="15" t="str">
        <x:v>K5</x:v>
      </x:c>
      <x:c r="I66" s="20" t="str">
        <x:v>待确认</x:v>
      </x:c>
      <x:c r="J66" s="20"/>
      <x:c r="K66" s="21"/>
      <x:c r="L66" s="20"/>
      <x:c r="M66" s="20"/>
      <x:c r="N66" s="15" t="str">
        <x:v>当天执行</x:v>
      </x:c>
      <x:c r="O66" s="15" t="str">
        <x:v>04:27–05:34；19:55–20:05；43:54；此前 U51</x:v>
      </x:c>
    </x:row>
    <x:row r="67" ht="104" customHeight="1">
      <x:c r="A67" s="31" t="n">
        <x:v>46294</x:v>
      </x:c>
      <x:c r="B67" s="18" t="str">
        <x:v>切片号</x:v>
      </x:c>
      <x:c r="C67" s="18" t="str">
        <x:v>筹备</x:v>
      </x:c>
      <x:c r="D67" s="18" t="str">
        <x:v>核对首播直播切片交付规则</x:v>
      </x:c>
      <x:c r="E67" s="18" t="str">
        <x:v>约定原料交接、时间点、标题信息、账号入口、每号条数与回链。</x:v>
      </x:c>
      <x:c r="F67" s="18" t="str">
        <x:v>yoyo 真人直播/看片原料交切片团队；切片号带准确正片入口，发片后回传链接。</x:v>
      </x:c>
      <x:c r="G67" s="18" t="str">
        <x:v>真人切片池与 AI 剧营销号池分开，不重复算同一批资源。</x:v>
      </x:c>
      <x:c r="H67" s="18" t="str">
        <x:v>J1 / C5 / K5</x:v>
      </x:c>
      <x:c r="I67" s="20" t="str">
        <x:v>待确认</x:v>
      </x:c>
      <x:c r="J67" s="20"/>
      <x:c r="K67" s="21"/>
      <x:c r="L67" s="20"/>
      <x:c r="M67" s="20"/>
      <x:c r="N67" s="18" t="str">
        <x:v>当天执行</x:v>
      </x:c>
      <x:c r="O67" s="18" t="str">
        <x:v>04:27–05:34；14:25；19:04–19:29；08:35–09:10；37:50–38:12；04:27–05:34；19:55–20:05；43:54；此前 U51</x:v>
      </x:c>
    </x:row>
    <x:row r="68" ht="104" customHeight="1">
      <x:c r="A68" s="30" t="n">
        <x:v>46295</x:v>
      </x:c>
      <x:c r="B68" s="15" t="str">
        <x:v>方舟智创</x:v>
      </x:c>
      <x:c r="C68" s="15" t="str">
        <x:v>筹备</x:v>
      </x:c>
      <x:c r="D68" s="15" t="str">
        <x:v>确认 10/10 是否具备首播条件</x:v>
      </x:c>
      <x:c r="E68" s="15" t="str">
        <x:v>确认首播日、正片号、专业剪辑与可发布素材；不满足则调整后段日期。</x:v>
      </x:c>
      <x:c r="F68" s="15" t="str">
        <x:v>方舟智创统一发布准确作品信息，其他已确认账号按当天各自内容接续。</x:v>
      </x:c>
      <x:c r="G68" s="15" t="str">
        <x:v>10/10 为本版筹备目标，确认后才能对外定档。</x:v>
      </x:c>
      <x:c r="H68" s="15" t="str">
        <x:v>A1 / A2 / A3 / A4 / A5</x:v>
      </x:c>
      <x:c r="I68" s="20" t="str">
        <x:v>待确认</x:v>
      </x:c>
      <x:c r="J68" s="20"/>
      <x:c r="K68" s="21"/>
      <x:c r="L68" s="20"/>
      <x:c r="M68" s="20"/>
      <x:c r="N68" s="15" t="str">
        <x:v>当天执行</x:v>
      </x:c>
      <x:c r="O68" s="15" t="str">
        <x:v>00:21–00:38；28:55–30:32；32:35–34:43；00:38；31:29–31:46；18:10–19:04；00:59；27:48–28:53；34:11；05:59；18:32；19:04；19:29–20:05；43:54；44:09–44:54</x:v>
      </x:c>
    </x:row>
    <x:row r="69" ht="104" customHeight="1">
      <x:c r="A69" s="31" t="n">
        <x:v>46295</x:v>
      </x:c>
      <x:c r="B69" s="18" t="str">
        <x:v>yoyo矩阵号</x:v>
      </x:c>
      <x:c r="C69" s="18" t="str">
        <x:v>筹备</x:v>
      </x:c>
      <x:c r="D69" s="18" t="str">
        <x:v>确认预热期矩阵排班</x:v>
      </x:c>
      <x:c r="E69" s="18" t="str">
        <x:v>逐号确认 10/3 起要接的物料、数量和发布入口。</x:v>
      </x:c>
      <x:c r="F69" s="18" t="str">
        <x:v>按当天内容接方舟智创与 yoyo 虚拟人号；具体账号链接由运营补齐。</x:v>
      </x:c>
      <x:c r="G69" s="18" t="str">
        <x:v>矩阵是否全量参与仍有分歧；只安排筛选后同意参与的账号。</x:v>
      </x:c>
      <x:c r="H69" s="18" t="str">
        <x:v>B3 / H2 / K3</x:v>
      </x:c>
      <x:c r="I69" s="20" t="str">
        <x:v>待确认</x:v>
      </x:c>
      <x:c r="J69" s="20"/>
      <x:c r="K69" s="21"/>
      <x:c r="L69" s="20"/>
      <x:c r="M69" s="20"/>
      <x:c r="N69" s="18" t="str">
        <x:v>当天执行</x:v>
      </x:c>
      <x:c r="O69" s="18" t="str">
        <x:v>06:57；34:50–36:24；16:25–17:28；13:12–13:53；42:06–42:22；45:30–46:23；15:20–17:28；43:21–43:54</x:v>
      </x:c>
    </x:row>
    <x:row r="70" ht="104" customHeight="1">
      <x:c r="A70" s="30" t="n">
        <x:v>46295</x:v>
      </x:c>
      <x:c r="B70" s="15" t="str">
        <x:v>陆文川账号（未申请）</x:v>
      </x:c>
      <x:c r="C70" s="15" t="str">
        <x:v>发布</x:v>
      </x:c>
      <x:c r="D70" s="15" t="str">
        <x:v>陆文川的日常氛围</x:v>
      </x:c>
      <x:c r="E70" s="15" t="str">
        <x:v>用获选形象完成独立短片；简介接本剧身份。</x:v>
      </x:c>
      <x:c r="F70" s="15" t="str">
        <x:v>方舟智创可承接角色亮相内容。</x:v>
      </x:c>
      <x:c r="G70" s="15" t="str">
        <x:v>仅在账号申请、交接和样片通过后执行；否则取消此号发布。</x:v>
      </x:c>
      <x:c r="H70" s="15" t="str">
        <x:v>D1 / D4</x:v>
      </x:c>
      <x:c r="I70" s="20" t="str">
        <x:v>待确认</x:v>
      </x:c>
      <x:c r="J70" s="20"/>
      <x:c r="K70" s="21"/>
      <x:c r="L70" s="20"/>
      <x:c r="M70" s="20"/>
      <x:c r="N70" s="15" t="str">
        <x:v>1 条建议</x:v>
      </x:c>
      <x:c r="O70" s="15" t="str">
        <x:v>09:10–09:42；38:19–39:40；38:19–38:28（D 类共创）；本项未独立点选</x:v>
      </x:c>
    </x:row>
    <x:row r="71" ht="104" customHeight="1">
      <x:c r="A71" s="31" t="n">
        <x:v>46295</x:v>
      </x:c>
      <x:c r="B71" s="18" t="str">
        <x:v>郑允书</x:v>
      </x:c>
      <x:c r="C71" s="18" t="str">
        <x:v>筹备</x:v>
      </x:c>
      <x:c r="D71" s="18" t="str">
        <x:v>准备教堂先导接力版</x:v>
      </x:c>
      <x:c r="E71" s="18" t="str">
        <x:v>只使用与该账号身份、角色相关的镜头，不硬套男女主内容。</x:v>
      </x:c>
      <x:c r="F71" s="18" t="str">
        <x:v>按当天内容接方舟智创与 yoyo 虚拟人号；具体账号链接由运营补齐。</x:v>
      </x:c>
      <x:c r="G71" s="18" t="str">
        <x:v>账号身份、角色版本与可用素材先核准。</x:v>
      </x:c>
      <x:c r="H71" s="18" t="str">
        <x:v>D1 / H3</x:v>
      </x:c>
      <x:c r="I71" s="20" t="str">
        <x:v>待确认</x:v>
      </x:c>
      <x:c r="J71" s="20"/>
      <x:c r="K71" s="21"/>
      <x:c r="L71" s="20"/>
      <x:c r="M71" s="20"/>
      <x:c r="N71" s="18" t="str">
        <x:v>当天执行</x:v>
      </x:c>
      <x:c r="O71" s="18" t="str">
        <x:v>09:10–09:42；38:19–39:40；29:30–30:21</x:v>
      </x:c>
    </x:row>
    <x:row r="72" ht="104" customHeight="1">
      <x:c r="A72" s="30" t="n">
        <x:v>46295</x:v>
      </x:c>
      <x:c r="B72" s="15" t="str">
        <x:v>yoyo虚拟人号</x:v>
      </x:c>
      <x:c r="C72" s="15" t="str">
        <x:v>发布</x:v>
      </x:c>
      <x:c r="D72" s="15" t="str">
        <x:v>在庭院里再认识她一点</x:v>
      </x:c>
      <x:c r="E72" s="15" t="str">
        <x:v>保持生活动作与空间游历，不把未播情节提前讲完。</x:v>
      </x:c>
      <x:c r="F72" s="15" t="str">
        <x:v>若已进入 T−7 集中预热，用当日剧宣替换本槽。</x:v>
      </x:c>
      <x:c r="G72" s="15" t="str">
        <x:v>检查是否与首播周期重叠。</x:v>
      </x:c>
      <x:c r="H72" s="15" t="str">
        <x:v>B2</x:v>
      </x:c>
      <x:c r="I72" s="20" t="str">
        <x:v>待确认</x:v>
      </x:c>
      <x:c r="J72" s="20"/>
      <x:c r="K72" s="21"/>
      <x:c r="L72" s="20"/>
      <x:c r="M72" s="20"/>
      <x:c r="N72" s="15" t="str">
        <x:v>1 条建议</x:v>
      </x:c>
      <x:c r="O72" s="15" t="str">
        <x:v>06:20–06:40；35:59–36:51</x:v>
      </x:c>
    </x:row>
    <x:row r="73" ht="104" customHeight="1">
      <x:c r="A73" s="31" t="n">
        <x:v>46295</x:v>
      </x:c>
      <x:c r="B73" s="18" t="str">
        <x:v>营销号</x:v>
      </x:c>
      <x:c r="C73" s="18" t="str">
        <x:v>筹备</x:v>
      </x:c>
      <x:c r="D73" s="18" t="str">
        <x:v>锁定第一批合作发布表</x:v>
      </x:c>
      <x:c r="E73" s="18" t="str">
        <x:v>逐号填写真实价格、联系人、物料、上线日与回链；未确认者不算签约。</x:v>
      </x:c>
      <x:c r="F73" s="18" t="str">
        <x:v>方舟智创提供已审简介、先导或已播高光；成熟 AI 剧账号独立重剪，按约定日期集中发布。</x:v>
      </x:c>
      <x:c r="G73" s="18" t="str">
        <x:v>这是 BD 工作计划；实际名单、金额与签约量待落实。</x:v>
      </x:c>
      <x:c r="H73" s="18" t="str">
        <x:v>K5</x:v>
      </x:c>
      <x:c r="I73" s="20" t="str">
        <x:v>待确认</x:v>
      </x:c>
      <x:c r="J73" s="20"/>
      <x:c r="K73" s="21"/>
      <x:c r="L73" s="20"/>
      <x:c r="M73" s="20"/>
      <x:c r="N73" s="18" t="str">
        <x:v>当天执行</x:v>
      </x:c>
      <x:c r="O73" s="18" t="str">
        <x:v>04:27–05:34；19:55–20:05；43:54；此前 U51</x:v>
      </x:c>
    </x:row>
    <x:row r="74" ht="104" customHeight="1">
      <x:c r="A74" s="30" t="n">
        <x:v>46296</x:v>
      </x:c>
      <x:c r="B74" s="15" t="str">
        <x:v>营销号</x:v>
      </x:c>
      <x:c r="C74" s="15" t="str">
        <x:v>筹备</x:v>
      </x:c>
      <x:c r="D74" s="15" t="str">
        <x:v>整理名单与素材授权</x:v>
      </x:c>
      <x:c r="E74" s="15" t="str">
        <x:v>不安排集中剧宣，保留合作准备与素材整理。</x:v>
      </x:c>
      <x:c r="F74" s="15" t="str">
        <x:v>方舟智创提供已审简介、先导或已播高光；成熟 AI 剧账号独立重剪，按约定日期集中发布。</x:v>
      </x:c>
      <x:c r="G74" s="15" t="str">
        <x:v>这是 BD 工作计划；实际名单、金额与签约量待落实。</x:v>
      </x:c>
      <x:c r="H74" s="15" t="str">
        <x:v>K5</x:v>
      </x:c>
      <x:c r="I74" s="20" t="str">
        <x:v>待确认</x:v>
      </x:c>
      <x:c r="J74" s="20"/>
      <x:c r="K74" s="21"/>
      <x:c r="L74" s="20"/>
      <x:c r="M74" s="20"/>
      <x:c r="N74" s="15" t="str">
        <x:v>当天执行</x:v>
      </x:c>
      <x:c r="O74" s="15" t="str">
        <x:v>04:27–05:34；19:55–20:05；43:54；此前 U51</x:v>
      </x:c>
    </x:row>
    <x:row r="75" ht="104" customHeight="1">
      <x:c r="A75" s="31" t="n">
        <x:v>46297</x:v>
      </x:c>
      <x:c r="B75" s="18" t="str">
        <x:v>营销号</x:v>
      </x:c>
      <x:c r="C75" s="18" t="str">
        <x:v>筹备</x:v>
      </x:c>
      <x:c r="D75" s="18" t="str">
        <x:v>确认明日起的合作档期</x:v>
      </x:c>
      <x:c r="E75" s="18" t="str">
        <x:v>首批合作号确认接片、发布时间和入口；不要求 500 个无差别同时复制。</x:v>
      </x:c>
      <x:c r="F75" s="18" t="str">
        <x:v>方舟智创提供已审简介、先导或已播高光；成熟 AI 剧账号独立重剪，按约定日期集中发布。</x:v>
      </x:c>
      <x:c r="G75" s="18" t="str">
        <x:v>这是 BD 工作计划；实际名单、金额与签约量待落实。</x:v>
      </x:c>
      <x:c r="H75" s="18" t="str">
        <x:v>K5</x:v>
      </x:c>
      <x:c r="I75" s="20" t="str">
        <x:v>待确认</x:v>
      </x:c>
      <x:c r="J75" s="20"/>
      <x:c r="K75" s="21"/>
      <x:c r="L75" s="20"/>
      <x:c r="M75" s="20"/>
      <x:c r="N75" s="18" t="str">
        <x:v>当天执行</x:v>
      </x:c>
      <x:c r="O75" s="18" t="str">
        <x:v>04:27–05:34；19:55–20:05；43:54；此前 U51</x:v>
      </x:c>
    </x:row>
    <x:row r="76" ht="104" customHeight="1">
      <x:c r="A76" s="30" t="n">
        <x:v>46297</x:v>
      </x:c>
      <x:c r="B76" s="15" t="str">
        <x:v>切片号</x:v>
      </x:c>
      <x:c r="C76" s="15" t="str">
        <x:v>筹备</x:v>
      </x:c>
      <x:c r="D76" s="15" t="str">
        <x:v>确认切片手和直播原料窗口</x:v>
      </x:c>
      <x:c r="E76" s="15" t="str">
        <x:v>预热素材与首播直播分开编号，实际没有原料就不排发。</x:v>
      </x:c>
      <x:c r="F76" s="15" t="str">
        <x:v>yoyo 真人直播/看片原料交切片团队；切片号带准确正片入口，发片后回传链接。</x:v>
      </x:c>
      <x:c r="G76" s="15" t="str">
        <x:v>真人切片池与 AI 剧营销号池分开，不重复算同一批资源。</x:v>
      </x:c>
      <x:c r="H76" s="15" t="str">
        <x:v>J1 / C5 / K5</x:v>
      </x:c>
      <x:c r="I76" s="20" t="str">
        <x:v>待确认</x:v>
      </x:c>
      <x:c r="J76" s="20"/>
      <x:c r="K76" s="21"/>
      <x:c r="L76" s="20"/>
      <x:c r="M76" s="20"/>
      <x:c r="N76" s="15" t="str">
        <x:v>当天执行</x:v>
      </x:c>
      <x:c r="O76" s="15" t="str">
        <x:v>04:27–05:34；14:25；19:04–19:29；08:35–09:10；37:50–38:12；04:27–05:34；19:55–20:05；43:54；此前 U51</x:v>
      </x:c>
    </x:row>
    <x:row r="77" ht="104" customHeight="1">
      <x:c r="A77" s="31" t="n">
        <x:v>46298</x:v>
      </x:c>
      <x:c r="B77" s="18" t="str">
        <x:v>方舟智创</x:v>
      </x:c>
      <x:c r="C77" s="18" t="str">
        <x:v>发布</x:v>
      </x:c>
      <x:c r="D77" s="18" t="str">
        <x:v>项目首宣与主视觉</x:v>
      </x:c>
      <x:c r="E77" s="18" t="str">
        <x:v>公布剧名、主创身份和观看方向；只有 10/10 经确认才能带定档。</x:v>
      </x:c>
      <x:c r="F77" s="18" t="str">
        <x:v>方舟智创统一发布准确作品信息，其他已确认账号按当天各自内容接续。</x:v>
      </x:c>
      <x:c r="G77" s="18" t="str">
        <x:v>使用过审素材，按已确认账号执行。</x:v>
      </x:c>
      <x:c r="H77" s="18" t="str">
        <x:v>A1 / A4</x:v>
      </x:c>
      <x:c r="I77" s="20" t="str">
        <x:v>待确认</x:v>
      </x:c>
      <x:c r="J77" s="20"/>
      <x:c r="K77" s="21"/>
      <x:c r="L77" s="20"/>
      <x:c r="M77" s="20"/>
      <x:c r="N77" s="18" t="str">
        <x:v>1 条建议</x:v>
      </x:c>
      <x:c r="O77" s="18" t="str">
        <x:v>00:21–00:38；28:55–30:32；32:35–34:43；05:59；18:32；19:04</x:v>
      </x:c>
    </x:row>
    <x:row r="78" ht="104" customHeight="1">
      <x:c r="A78" s="30" t="n">
        <x:v>46298</x:v>
      </x:c>
      <x:c r="B78" s="15" t="str">
        <x:v>yoyo矩阵号</x:v>
      </x:c>
      <x:c r="C78" s="15" t="str">
        <x:v>发布</x:v>
      </x:c>
      <x:c r="D78" s="15" t="str">
        <x:v>适配矩阵号接项目首宣</x:v>
      </x:c>
      <x:c r="E78" s="15" t="str">
        <x:v>选已筛过的号发各自角度，别把同一张海报铺满全矩阵。</x:v>
      </x:c>
      <x:c r="F78" s="15" t="str">
        <x:v>按当天内容接方舟智创与 yoyo 虚拟人号；具体账号链接由运营补齐。</x:v>
      </x:c>
      <x:c r="G78" s="15" t="str">
        <x:v>仅限筛选后已确认参与的矩阵号；非全矩阵统一发。</x:v>
      </x:c>
      <x:c r="H78" s="15" t="str">
        <x:v>A1</x:v>
      </x:c>
      <x:c r="I78" s="20" t="str">
        <x:v>待确认</x:v>
      </x:c>
      <x:c r="J78" s="20"/>
      <x:c r="K78" s="21"/>
      <x:c r="L78" s="20"/>
      <x:c r="M78" s="20"/>
      <x:c r="N78" s="15" t="str">
        <x:v>1 条建议</x:v>
      </x:c>
      <x:c r="O78" s="15" t="str">
        <x:v>00:21–00:38；28:55–30:32；32:35–34:43</x:v>
      </x:c>
    </x:row>
    <x:row r="79" ht="104" customHeight="1">
      <x:c r="A79" s="31" t="n">
        <x:v>46298</x:v>
      </x:c>
      <x:c r="B79" s="18" t="str">
        <x:v>yoyo真人小号</x:v>
      </x:c>
      <x:c r="C79" s="18" t="str">
        <x:v>筹备</x:v>
      </x:c>
      <x:c r="D79" s="18" t="str">
        <x:v>录一条真人参演介绍</x:v>
      </x:c>
      <x:c r="E79" s="18" t="str">
        <x:v>由本人说明参与作品与审美工作，为后续发布留足高质量原料。</x:v>
      </x:c>
      <x:c r="F79" s="18" t="str">
        <x:v>按当天内容接方舟智创与 yoyo 虚拟人号；具体账号链接由运营补齐。</x:v>
      </x:c>
      <x:c r="G79" s="18" t="str">
        <x:v>使用过审素材，按已确认账号执行。</x:v>
      </x:c>
      <x:c r="H79" s="18" t="str">
        <x:v>C1</x:v>
      </x:c>
      <x:c r="I79" s="20" t="str">
        <x:v>待确认</x:v>
      </x:c>
      <x:c r="J79" s="20"/>
      <x:c r="K79" s="21"/>
      <x:c r="L79" s="20"/>
      <x:c r="M79" s="20"/>
      <x:c r="N79" s="18" t="str">
        <x:v>当天执行</x:v>
      </x:c>
      <x:c r="O79" s="18" t="str">
        <x:v>07:46；30:32–31:10；32:45–33:22；36:59–37:13</x:v>
      </x:c>
    </x:row>
    <x:row r="80" ht="104" customHeight="1">
      <x:c r="A80" s="30" t="n">
        <x:v>46298</x:v>
      </x:c>
      <x:c r="B80" s="15" t="str">
        <x:v>郑允书</x:v>
      </x:c>
      <x:c r="C80" s="15" t="str">
        <x:v>发布</x:v>
      </x:c>
      <x:c r="D80" s="15" t="str">
        <x:v>郑允书角色海报接首宣</x:v>
      </x:c>
      <x:c r="E80" s="15" t="str">
        <x:v>用本账号相关的人物海报，接项目首宣。</x:v>
      </x:c>
      <x:c r="F80" s="15" t="str">
        <x:v>按当天内容接方舟智创与 yoyo 虚拟人号；具体账号链接由运营补齐。</x:v>
      </x:c>
      <x:c r="G80" s="15" t="str">
        <x:v>郑允书账号可用性、实际角色素材与本人/运营授权需核准。</x:v>
      </x:c>
      <x:c r="H80" s="15" t="str">
        <x:v>D1 / H3</x:v>
      </x:c>
      <x:c r="I80" s="20" t="str">
        <x:v>待确认</x:v>
      </x:c>
      <x:c r="J80" s="20"/>
      <x:c r="K80" s="21"/>
      <x:c r="L80" s="20"/>
      <x:c r="M80" s="20"/>
      <x:c r="N80" s="15" t="str">
        <x:v>1 条建议</x:v>
      </x:c>
      <x:c r="O80" s="15" t="str">
        <x:v>09:10–09:42；38:19–39:40；29:30–30:21</x:v>
      </x:c>
    </x:row>
    <x:row r="81" ht="104" customHeight="1">
      <x:c r="A81" s="31" t="n">
        <x:v>46298</x:v>
      </x:c>
      <x:c r="B81" s="18" t="str">
        <x:v>yoyo虚拟人号</x:v>
      </x:c>
      <x:c r="C81" s="18" t="str">
        <x:v>发布</x:v>
      </x:c>
      <x:c r="D81" s="18" t="str">
        <x:v>我参演的这部作品，正式亮相</x:v>
      </x:c>
      <x:c r="E81" s="18" t="str">
        <x:v>由 IP 日常接入本剧；与厂牌首宣共创或关联。</x:v>
      </x:c>
      <x:c r="F81" s="18" t="str">
        <x:v>相关人物号用自己的视角回应，指向同一厂牌/正片入口；不强制每号复制同片。</x:v>
      </x:c>
      <x:c r="G81" s="18" t="str">
        <x:v>使用过审素材，按已确认账号执行。</x:v>
      </x:c>
      <x:c r="H81" s="18" t="str">
        <x:v>A1</x:v>
      </x:c>
      <x:c r="I81" s="20" t="str">
        <x:v>待确认</x:v>
      </x:c>
      <x:c r="J81" s="20"/>
      <x:c r="K81" s="21"/>
      <x:c r="L81" s="20"/>
      <x:c r="M81" s="20"/>
      <x:c r="N81" s="18" t="str">
        <x:v>1 条建议</x:v>
      </x:c>
      <x:c r="O81" s="18" t="str">
        <x:v>00:21–00:38；28:55–30:32；32:35–34:43</x:v>
      </x:c>
    </x:row>
    <x:row r="82" ht="104" customHeight="1">
      <x:c r="A82" s="30" t="n">
        <x:v>46298</x:v>
      </x:c>
      <x:c r="B82" s="15" t="str">
        <x:v>营销号</x:v>
      </x:c>
      <x:c r="C82" s="15" t="str">
        <x:v>筹备</x:v>
      </x:c>
      <x:c r="D82" s="15" t="str">
        <x:v>交付首批无剧透预热包</x:v>
      </x:c>
      <x:c r="E82" s="15" t="str">
        <x:v>获准先导、简介、公开范围和入口一起交，确认 10/4 发片。</x:v>
      </x:c>
      <x:c r="F82" s="15" t="str">
        <x:v>方舟智创提供已审简介、先导或已播高光；成熟 AI 剧账号独立重剪，按约定日期集中发布。</x:v>
      </x:c>
      <x:c r="G82" s="15" t="str">
        <x:v>逐号真实报价和合作条件落实；用已获准公开的素材，候选数与实际发片数分开。</x:v>
      </x:c>
      <x:c r="H82" s="15" t="str">
        <x:v>K5</x:v>
      </x:c>
      <x:c r="I82" s="20" t="str">
        <x:v>待确认</x:v>
      </x:c>
      <x:c r="J82" s="20"/>
      <x:c r="K82" s="21"/>
      <x:c r="L82" s="20"/>
      <x:c r="M82" s="20"/>
      <x:c r="N82" s="15" t="str">
        <x:v>当天执行</x:v>
      </x:c>
      <x:c r="O82" s="15" t="str">
        <x:v>04:27–05:34；19:55–20:05；43:54；此前 U51</x:v>
      </x:c>
    </x:row>
    <x:row r="83" ht="104" customHeight="1">
      <x:c r="A83" s="31" t="n">
        <x:v>46299</x:v>
      </x:c>
      <x:c r="B83" s="18" t="str">
        <x:v>方舟智创</x:v>
      </x:c>
      <x:c r="C83" s="18" t="str">
        <x:v>发布</x:v>
      </x:c>
      <x:c r="D83" s="18" t="str">
        <x:v>教堂戏中戏先导</x:v>
      </x:c>
      <x:c r="E83" s="18" t="str">
        <x:v>以定稿教堂片场制造视觉入口，不抢先讲完救人情节。</x:v>
      </x:c>
      <x:c r="F83" s="18" t="str">
        <x:v>方舟智创统一发布准确作品信息，其他已确认账号按当天各自内容接续。</x:v>
      </x:c>
      <x:c r="G83" s="18" t="str">
        <x:v>使用过审素材，按已确认账号执行。</x:v>
      </x:c>
      <x:c r="H83" s="18" t="str">
        <x:v>A3</x:v>
      </x:c>
      <x:c r="I83" s="20" t="str">
        <x:v>待确认</x:v>
      </x:c>
      <x:c r="J83" s="20"/>
      <x:c r="K83" s="21"/>
      <x:c r="L83" s="20"/>
      <x:c r="M83" s="20"/>
      <x:c r="N83" s="18" t="str">
        <x:v>1 条建议</x:v>
      </x:c>
      <x:c r="O83" s="18" t="str">
        <x:v>00:59；27:48–28:53；34:11</x:v>
      </x:c>
    </x:row>
    <x:row r="84" ht="104" customHeight="1">
      <x:c r="A84" s="30" t="n">
        <x:v>46299</x:v>
      </x:c>
      <x:c r="B84" s="15" t="str">
        <x:v>陆文川账号（未申请）</x:v>
      </x:c>
      <x:c r="C84" s="15" t="str">
        <x:v>发布</x:v>
      </x:c>
      <x:c r="D84" s="15" t="str">
        <x:v>陆文川视角接先导</x:v>
      </x:c>
      <x:c r="E84" s="15" t="str">
        <x:v>用与男主有关的短版承接厂牌入口。</x:v>
      </x:c>
      <x:c r="F84" s="15" t="str">
        <x:v>相关人物号用自己的视角回应，指向同一厂牌/正片入口；不强制每号复制同片。</x:v>
      </x:c>
      <x:c r="G84" s="15" t="str">
        <x:v>陆文川账号当前未申请；该日之前开通交接成功才发布，否则由厂牌接内容。</x:v>
      </x:c>
      <x:c r="H84" s="15" t="str">
        <x:v>A3 / D1</x:v>
      </x:c>
      <x:c r="I84" s="20" t="str">
        <x:v>待确认</x:v>
      </x:c>
      <x:c r="J84" s="20"/>
      <x:c r="K84" s="21"/>
      <x:c r="L84" s="20"/>
      <x:c r="M84" s="20"/>
      <x:c r="N84" s="15" t="str">
        <x:v>1 条建议</x:v>
      </x:c>
      <x:c r="O84" s="15" t="str">
        <x:v>00:59；27:48–28:53；34:11；09:10–09:42；38:19–39:40</x:v>
      </x:c>
    </x:row>
    <x:row r="85" ht="104" customHeight="1">
      <x:c r="A85" s="31" t="n">
        <x:v>46299</x:v>
      </x:c>
      <x:c r="B85" s="18" t="str">
        <x:v>郑允书</x:v>
      </x:c>
      <x:c r="C85" s="18" t="str">
        <x:v>发布</x:v>
      </x:c>
      <x:c r="D85" s="18" t="str">
        <x:v>角色号接力教堂先导</x:v>
      </x:c>
      <x:c r="E85" s="18" t="str">
        <x:v>只取与角色和账号匹配的获准镜头。</x:v>
      </x:c>
      <x:c r="F85" s="18" t="str">
        <x:v>按当天内容接方舟智创与 yoyo 虚拟人号；具体账号链接由运营补齐。</x:v>
      </x:c>
      <x:c r="G85" s="18" t="str">
        <x:v>郑允书账号可用性、实际角色素材与本人/运营授权需核准。</x:v>
      </x:c>
      <x:c r="H85" s="18" t="str">
        <x:v>A3</x:v>
      </x:c>
      <x:c r="I85" s="20" t="str">
        <x:v>待确认</x:v>
      </x:c>
      <x:c r="J85" s="20"/>
      <x:c r="K85" s="21"/>
      <x:c r="L85" s="20"/>
      <x:c r="M85" s="20"/>
      <x:c r="N85" s="18" t="str">
        <x:v>1 条建议</x:v>
      </x:c>
      <x:c r="O85" s="18" t="str">
        <x:v>00:59；27:48–28:53；34:11</x:v>
      </x:c>
    </x:row>
    <x:row r="86" ht="104" customHeight="1">
      <x:c r="A86" s="30" t="n">
        <x:v>46299</x:v>
      </x:c>
      <x:c r="B86" s="15" t="str">
        <x:v>yoyo虚拟人号</x:v>
      </x:c>
      <x:c r="C86" s="15" t="str">
        <x:v>发布</x:v>
      </x:c>
      <x:c r="D86" s="15" t="str">
        <x:v>女主视角的教堂先导</x:v>
      </x:c>
      <x:c r="E86" s="15" t="str">
        <x:v>围绕同一先导形成适合虚拟女主号的短版。</x:v>
      </x:c>
      <x:c r="F86" s="15" t="str">
        <x:v>相关人物号用自己的视角回应，指向同一厂牌/正片入口；不强制每号复制同片。</x:v>
      </x:c>
      <x:c r="G86" s="15" t="str">
        <x:v>使用过审素材，按已确认账号执行。</x:v>
      </x:c>
      <x:c r="H86" s="15" t="str">
        <x:v>A3</x:v>
      </x:c>
      <x:c r="I86" s="20" t="str">
        <x:v>待确认</x:v>
      </x:c>
      <x:c r="J86" s="20"/>
      <x:c r="K86" s="21"/>
      <x:c r="L86" s="20"/>
      <x:c r="M86" s="20"/>
      <x:c r="N86" s="15" t="str">
        <x:v>1 条建议</x:v>
      </x:c>
      <x:c r="O86" s="15" t="str">
        <x:v>00:59；27:48–28:53；34:11</x:v>
      </x:c>
    </x:row>
    <x:row r="87" ht="104" customHeight="1">
      <x:c r="A87" s="31" t="n">
        <x:v>46299</x:v>
      </x:c>
      <x:c r="B87" s="18" t="str">
        <x:v>营销号</x:v>
      </x:c>
      <x:c r="C87" s="18" t="str">
        <x:v>发布</x:v>
      </x:c>
      <x:c r="D87" s="18" t="str">
        <x:v>第一批营销号先导二创</x:v>
      </x:c>
      <x:c r="E87" s="18" t="str">
        <x:v>已谈妥账号集中发各自重剪版，保留不同钩子与风格。</x:v>
      </x:c>
      <x:c r="F87" s="18" t="str">
        <x:v>方舟智创提供已审简介、先导或已播高光；成熟 AI 剧账号独立重剪，按约定日期集中发布。</x:v>
      </x:c>
      <x:c r="G87" s="18" t="str">
        <x:v>逐号真实报价和合作条件落实；用已获准公开的素材，候选数与实际发片数分开。</x:v>
      </x:c>
      <x:c r="H87" s="18" t="str">
        <x:v>A3 / K5</x:v>
      </x:c>
      <x:c r="I87" s="20" t="str">
        <x:v>待确认</x:v>
      </x:c>
      <x:c r="J87" s="20"/>
      <x:c r="K87" s="21"/>
      <x:c r="L87" s="20"/>
      <x:c r="M87" s="20"/>
      <x:c r="N87" s="18" t="str">
        <x:v>按签约账号及条数执行</x:v>
      </x:c>
      <x:c r="O87" s="18" t="str">
        <x:v>00:59；27:48–28:53；34:11；04:27–05:34；19:55–20:05；43:54；此前 U51</x:v>
      </x:c>
    </x:row>
    <x:row r="88" ht="104" customHeight="1">
      <x:c r="A88" s="30" t="n">
        <x:v>46299</x:v>
      </x:c>
      <x:c r="B88" s="15" t="str">
        <x:v>切片号</x:v>
      </x:c>
      <x:c r="C88" s="15" t="str">
        <x:v>筹备</x:v>
      </x:c>
      <x:c r="D88" s="15" t="str">
        <x:v>收真人讲剧原料并标时间点</x:v>
      </x:c>
      <x:c r="E88" s="15" t="str">
        <x:v>优先切本人参与与看画面的反应，不混用剧情二创包。</x:v>
      </x:c>
      <x:c r="F88" s="15" t="str">
        <x:v>yoyo 真人直播/看片原料交切片团队；切片号带准确正片入口，发片后回传链接。</x:v>
      </x:c>
      <x:c r="G88" s="15" t="str">
        <x:v>拿到真实直播/看片原料和明确可发段落后再发，不用剧情二创包代替真人切片。</x:v>
      </x:c>
      <x:c r="H88" s="15" t="str">
        <x:v>J1 / K5</x:v>
      </x:c>
      <x:c r="I88" s="20" t="str">
        <x:v>待确认</x:v>
      </x:c>
      <x:c r="J88" s="20"/>
      <x:c r="K88" s="21"/>
      <x:c r="L88" s="20"/>
      <x:c r="M88" s="20"/>
      <x:c r="N88" s="15" t="str">
        <x:v>当天执行</x:v>
      </x:c>
      <x:c r="O88" s="15" t="str">
        <x:v>04:27–05:34；14:25；19:04–19:29；04:27–05:34；19:55–20:05；43:54；此前 U51</x:v>
      </x:c>
    </x:row>
    <x:row r="89" ht="104" customHeight="1">
      <x:c r="A89" s="31" t="n">
        <x:v>46300</x:v>
      </x:c>
      <x:c r="B89" s="18" t="str">
        <x:v>方舟AI</x:v>
      </x:c>
      <x:c r="C89" s="18" t="str">
        <x:v>发布</x:v>
      </x:c>
      <x:c r="D89" s="18" t="str">
        <x:v>教堂这一幕怎样做出来</x:v>
      </x:c>
      <x:c r="E89" s="18" t="str">
        <x:v>用真实制作过程和获准先导作前后对照。</x:v>
      </x:c>
      <x:c r="F89" s="18" t="str">
        <x:v>与方舟智创的作品发布对应，本号保留真实制作与专业过程视角。</x:v>
      </x:c>
      <x:c r="G89" s="18" t="str">
        <x:v>使用过审素材，按已确认账号执行。</x:v>
      </x:c>
      <x:c r="H89" s="18" t="str">
        <x:v>F3 / F5</x:v>
      </x:c>
      <x:c r="I89" s="20" t="str">
        <x:v>待确认</x:v>
      </x:c>
      <x:c r="J89" s="20"/>
      <x:c r="K89" s="21"/>
      <x:c r="L89" s="20"/>
      <x:c r="M89" s="20"/>
      <x:c r="N89" s="18" t="str">
        <x:v>1 条建议</x:v>
      </x:c>
      <x:c r="O89" s="18" t="str">
        <x:v>11:50–13:53；41:32–41:40；13:53–14:10；41:40–42:22</x:v>
      </x:c>
    </x:row>
    <x:row r="90" ht="104" customHeight="1">
      <x:c r="A90" s="30" t="n">
        <x:v>46300</x:v>
      </x:c>
      <x:c r="B90" s="15" t="str">
        <x:v>yoyo真人小号</x:v>
      </x:c>
      <x:c r="C90" s="15" t="str">
        <x:v>发布</x:v>
      </x:c>
      <x:c r="D90" s="15" t="str">
        <x:v>真人介绍：我在做这部剧</x:v>
      </x:c>
      <x:c r="E90" s="15" t="str">
        <x:v>用本人参演与制片参与说明关系，接虚拟分身与作品。</x:v>
      </x:c>
      <x:c r="F90" s="15" t="str">
        <x:v>按当天内容接方舟智创与 yoyo 虚拟人号；具体账号链接由运营补齐。</x:v>
      </x:c>
      <x:c r="G90" s="15" t="str">
        <x:v>使用过审素材，按已确认账号执行。</x:v>
      </x:c>
      <x:c r="H90" s="15" t="str">
        <x:v>C1</x:v>
      </x:c>
      <x:c r="I90" s="20" t="str">
        <x:v>待确认</x:v>
      </x:c>
      <x:c r="J90" s="20"/>
      <x:c r="K90" s="21"/>
      <x:c r="L90" s="20"/>
      <x:c r="M90" s="20"/>
      <x:c r="N90" s="15" t="str">
        <x:v>1 条建议</x:v>
      </x:c>
      <x:c r="O90" s="15" t="str">
        <x:v>07:46；30:32–31:10；32:45–33:22；36:59–37:13</x:v>
      </x:c>
    </x:row>
    <x:row r="91" ht="104" customHeight="1">
      <x:c r="A91" s="31" t="n">
        <x:v>46300</x:v>
      </x:c>
      <x:c r="B91" s="18" t="str">
        <x:v>陆文川账号（未申请）</x:v>
      </x:c>
      <x:c r="C91" s="18" t="str">
        <x:v>发布</x:v>
      </x:c>
      <x:c r="D91" s="18" t="str">
        <x:v>陆文川单人高光</x:v>
      </x:c>
      <x:c r="E91" s="18" t="str">
        <x:v>人物短高光，避免提前公布后续关系。</x:v>
      </x:c>
      <x:c r="F91" s="18" t="str">
        <x:v>相关人物号用自己的视角回应，指向同一厂牌/正片入口；不强制每号复制同片。</x:v>
      </x:c>
      <x:c r="G91" s="18" t="str">
        <x:v>陆文川账号当前未申请；该日之前开通交接成功才发布，否则由厂牌接内容。</x:v>
      </x:c>
      <x:c r="H91" s="18" t="str">
        <x:v>D1</x:v>
      </x:c>
      <x:c r="I91" s="20" t="str">
        <x:v>待确认</x:v>
      </x:c>
      <x:c r="J91" s="20"/>
      <x:c r="K91" s="21"/>
      <x:c r="L91" s="20"/>
      <x:c r="M91" s="20"/>
      <x:c r="N91" s="18" t="str">
        <x:v>1 条建议</x:v>
      </x:c>
      <x:c r="O91" s="18" t="str">
        <x:v>09:10–09:42；38:19–39:40</x:v>
      </x:c>
    </x:row>
    <x:row r="92" ht="104" customHeight="1">
      <x:c r="A92" s="30" t="n">
        <x:v>46300</x:v>
      </x:c>
      <x:c r="B92" s="15" t="str">
        <x:v>yoyo虚拟人号</x:v>
      </x:c>
      <x:c r="C92" s="15" t="str">
        <x:v>发布</x:v>
      </x:c>
      <x:c r="D92" s="15" t="str">
        <x:v>首宣之后的一条日常氛围</x:v>
      </x:c>
      <x:c r="E92" s="15" t="str">
        <x:v>维持人物连续性，作品信息放在简介/评论承接。</x:v>
      </x:c>
      <x:c r="F92" s="15" t="str">
        <x:v>相关人物号用自己的视角回应，指向同一厂牌/正片入口；不强制每号复制同片。</x:v>
      </x:c>
      <x:c r="G92" s="15" t="str">
        <x:v>使用过审素材，按已确认账号执行。</x:v>
      </x:c>
      <x:c r="H92" s="15" t="str">
        <x:v>B1</x:v>
      </x:c>
      <x:c r="I92" s="20" t="str">
        <x:v>待确认</x:v>
      </x:c>
      <x:c r="J92" s="20"/>
      <x:c r="K92" s="21"/>
      <x:c r="L92" s="20"/>
      <x:c r="M92" s="20"/>
      <x:c r="N92" s="15" t="str">
        <x:v>1 条建议</x:v>
      </x:c>
      <x:c r="O92" s="15" t="str">
        <x:v>06:20；34:58–36:24</x:v>
      </x:c>
    </x:row>
    <x:row r="93" ht="104" customHeight="1">
      <x:c r="A93" s="31" t="n">
        <x:v>46300</x:v>
      </x:c>
      <x:c r="B93" s="18" t="str">
        <x:v>营销号</x:v>
      </x:c>
      <x:c r="C93" s="18" t="str">
        <x:v>筹备</x:v>
      </x:c>
      <x:c r="D93" s="18" t="str">
        <x:v>复盘首批二创，追加有效账号</x:v>
      </x:c>
      <x:c r="E93" s="18" t="str">
        <x:v>看真实传播与导流；同一交付口径继续低价 BD，补入下一批。</x:v>
      </x:c>
      <x:c r="F93" s="18" t="str">
        <x:v>方舟智创提供已审简介、先导或已播高光；成熟 AI 剧账号独立重剪，按约定日期集中发布。</x:v>
      </x:c>
      <x:c r="G93" s="18" t="str">
        <x:v>逐号真实报价和合作条件落实；用已获准公开的素材，候选数与实际发片数分开。</x:v>
      </x:c>
      <x:c r="H93" s="18" t="str">
        <x:v>K5</x:v>
      </x:c>
      <x:c r="I93" s="20" t="str">
        <x:v>待确认</x:v>
      </x:c>
      <x:c r="J93" s="20"/>
      <x:c r="K93" s="21"/>
      <x:c r="L93" s="20"/>
      <x:c r="M93" s="20"/>
      <x:c r="N93" s="18" t="str">
        <x:v>当天执行</x:v>
      </x:c>
      <x:c r="O93" s="18" t="str">
        <x:v>04:27–05:34；19:55–20:05；43:54；此前 U51</x:v>
      </x:c>
    </x:row>
    <x:row r="94" ht="104" customHeight="1">
      <x:c r="A94" s="30" t="n">
        <x:v>46301</x:v>
      </x:c>
      <x:c r="B94" s="15" t="str">
        <x:v>方舟智创</x:v>
      </x:c>
      <x:c r="C94" s="15" t="str">
        <x:v>发布</x:v>
      </x:c>
      <x:c r="D94" s="15" t="str">
        <x:v>8–10 秒短预告</x:v>
      </x:c>
      <x:c r="E94" s="15" t="str">
        <x:v>集中一个问题或视觉点，承接完整主预告。</x:v>
      </x:c>
      <x:c r="F94" s="15" t="str">
        <x:v>方舟智创统一发布准确作品信息，其他已确认账号按当天各自内容接续。</x:v>
      </x:c>
      <x:c r="G94" s="15" t="str">
        <x:v>使用过审素材，按已确认账号执行。</x:v>
      </x:c>
      <x:c r="H94" s="15" t="str">
        <x:v>A2</x:v>
      </x:c>
      <x:c r="I94" s="20" t="str">
        <x:v>待确认</x:v>
      </x:c>
      <x:c r="J94" s="20"/>
      <x:c r="K94" s="21"/>
      <x:c r="L94" s="20"/>
      <x:c r="M94" s="20"/>
      <x:c r="N94" s="15" t="str">
        <x:v>1 条建议</x:v>
      </x:c>
      <x:c r="O94" s="15" t="str">
        <x:v>00:38；31:29–31:46；18:10–19:04</x:v>
      </x:c>
    </x:row>
    <x:row r="95" ht="104" customHeight="1">
      <x:c r="A95" s="31" t="n">
        <x:v>46301</x:v>
      </x:c>
      <x:c r="B95" s="18" t="str">
        <x:v>yoyo矩阵号</x:v>
      </x:c>
      <x:c r="C95" s="18" t="str">
        <x:v>发布</x:v>
      </x:c>
      <x:c r="D95" s="18" t="str">
        <x:v>适配矩阵号发穿搭或短预告</x:v>
      </x:c>
      <x:c r="E95" s="18" t="str">
        <x:v>穿搭号选造型，影视号选短预告，不混用账号定位。</x:v>
      </x:c>
      <x:c r="F95" s="18" t="str">
        <x:v>按当天内容接方舟智创与 yoyo 虚拟人号；具体账号链接由运营补齐。</x:v>
      </x:c>
      <x:c r="G95" s="18" t="str">
        <x:v>仅限筛选后已确认参与的矩阵号；非全矩阵统一发。</x:v>
      </x:c>
      <x:c r="H95" s="18" t="str">
        <x:v>B3 / A2</x:v>
      </x:c>
      <x:c r="I95" s="20" t="str">
        <x:v>待确认</x:v>
      </x:c>
      <x:c r="J95" s="20"/>
      <x:c r="K95" s="21"/>
      <x:c r="L95" s="20"/>
      <x:c r="M95" s="20"/>
      <x:c r="N95" s="18" t="str">
        <x:v>1 条建议</x:v>
      </x:c>
      <x:c r="O95" s="18" t="str">
        <x:v>06:57；34:50–36:24；16:25–17:28；00:38；31:29–31:46；18:10–19:04</x:v>
      </x:c>
    </x:row>
    <x:row r="96" ht="104" customHeight="1">
      <x:c r="A96" s="30" t="n">
        <x:v>46301</x:v>
      </x:c>
      <x:c r="B96" s="15" t="str">
        <x:v>yoyo真人小号</x:v>
      </x:c>
      <x:c r="C96" s="15" t="str">
        <x:v>发布</x:v>
      </x:c>
      <x:c r="D96" s="15" t="str">
        <x:v>约两秒真人开头的转场</x:v>
      </x:c>
      <x:c r="E96" s="15" t="str">
        <x:v>真实动作接虚拟形象，用成片质量确认是否发布。</x:v>
      </x:c>
      <x:c r="F96" s="15" t="str">
        <x:v>按当天内容接方舟智创与 yoyo 虚拟人号；具体账号链接由运营补齐。</x:v>
      </x:c>
      <x:c r="G96" s="15" t="str">
        <x:v>使用过审素材，按已确认账号执行。</x:v>
      </x:c>
      <x:c r="H96" s="15" t="str">
        <x:v>C4</x:v>
      </x:c>
      <x:c r="I96" s="20" t="str">
        <x:v>待确认</x:v>
      </x:c>
      <x:c r="J96" s="20"/>
      <x:c r="K96" s="21"/>
      <x:c r="L96" s="20"/>
      <x:c r="M96" s="20"/>
      <x:c r="N96" s="15" t="str">
        <x:v>1 条建议</x:v>
      </x:c>
      <x:c r="O96" s="15" t="str">
        <x:v>07:46–08:12；37:30–37:50</x:v>
      </x:c>
    </x:row>
    <x:row r="97" ht="104" customHeight="1">
      <x:c r="A97" s="31" t="n">
        <x:v>46301</x:v>
      </x:c>
      <x:c r="B97" s="18" t="str">
        <x:v>yoyo大号</x:v>
      </x:c>
      <x:c r="C97" s="18" t="str">
        <x:v>筹备</x:v>
      </x:c>
      <x:c r="D97" s="18" t="str">
        <x:v>确认大号要发的最终版本</x:v>
      </x:c>
      <x:c r="E97" s="18" t="str">
        <x:v>锁定 10/8 的重要支持帖；不过关就由小号/厂牌承接。</x:v>
      </x:c>
      <x:c r="F97" s="18" t="str">
        <x:v>按当天内容接方舟智创与 yoyo 虚拟人号；具体账号链接由运营补齐。</x:v>
      </x:c>
      <x:c r="G97" s="18" t="str">
        <x:v>大号发布由本人选片确认。</x:v>
      </x:c>
      <x:c r="H97" s="18" t="str">
        <x:v>C1 / A2</x:v>
      </x:c>
      <x:c r="I97" s="20" t="str">
        <x:v>待确认</x:v>
      </x:c>
      <x:c r="J97" s="20"/>
      <x:c r="K97" s="21"/>
      <x:c r="L97" s="20"/>
      <x:c r="M97" s="20"/>
      <x:c r="N97" s="18" t="str">
        <x:v>当天执行</x:v>
      </x:c>
      <x:c r="O97" s="18" t="str">
        <x:v>07:46；30:32–31:10；32:45–33:22；36:59–37:13；00:38；31:29–31:46；18:10–19:04</x:v>
      </x:c>
    </x:row>
    <x:row r="98" ht="104" customHeight="1">
      <x:c r="A98" s="30" t="n">
        <x:v>46301</x:v>
      </x:c>
      <x:c r="B98" s="15" t="str">
        <x:v>yoyo虚拟人号</x:v>
      </x:c>
      <x:c r="C98" s="15" t="str">
        <x:v>发布</x:v>
      </x:c>
      <x:c r="D98" s="15" t="str">
        <x:v>真人动作接虚拟动作的另一半</x:v>
      </x:c>
      <x:c r="E98" s="15" t="str">
        <x:v>与已录真人转场呼应，作品入口放清楚。</x:v>
      </x:c>
      <x:c r="F98" s="15" t="str">
        <x:v>相关人物号用自己的视角回应，指向同一厂牌/正片入口；不强制每号复制同片。</x:v>
      </x:c>
      <x:c r="G98" s="15" t="str">
        <x:v>使用过审素材，按已确认账号执行。</x:v>
      </x:c>
      <x:c r="H98" s="15" t="str">
        <x:v>C4</x:v>
      </x:c>
      <x:c r="I98" s="20" t="str">
        <x:v>待确认</x:v>
      </x:c>
      <x:c r="J98" s="20"/>
      <x:c r="K98" s="21"/>
      <x:c r="L98" s="20"/>
      <x:c r="M98" s="20"/>
      <x:c r="N98" s="15" t="str">
        <x:v>1 条建议</x:v>
      </x:c>
      <x:c r="O98" s="15" t="str">
        <x:v>07:46–08:12；37:30–37:50</x:v>
      </x:c>
    </x:row>
    <x:row r="99" ht="104" customHeight="1">
      <x:c r="A99" s="31" t="n">
        <x:v>46301</x:v>
      </x:c>
      <x:c r="B99" s="18" t="str">
        <x:v>营销号</x:v>
      </x:c>
      <x:c r="C99" s="18" t="str">
        <x:v>发布</x:v>
      </x:c>
      <x:c r="D99" s="18" t="str">
        <x:v>第二批短预告二创</x:v>
      </x:c>
      <x:c r="E99" s="18" t="str">
        <x:v>按合作表集中发新的剪法，减少同片复制。</x:v>
      </x:c>
      <x:c r="F99" s="18" t="str">
        <x:v>方舟智创提供已审简介、先导或已播高光；成熟 AI 剧账号独立重剪，按约定日期集中发布。</x:v>
      </x:c>
      <x:c r="G99" s="18" t="str">
        <x:v>逐号真实报价和合作条件落实；用已获准公开的素材，候选数与实际发片数分开。</x:v>
      </x:c>
      <x:c r="H99" s="18" t="str">
        <x:v>A2 / K5</x:v>
      </x:c>
      <x:c r="I99" s="20" t="str">
        <x:v>待确认</x:v>
      </x:c>
      <x:c r="J99" s="20"/>
      <x:c r="K99" s="21"/>
      <x:c r="L99" s="20"/>
      <x:c r="M99" s="20"/>
      <x:c r="N99" s="18" t="str">
        <x:v>按签约账号及条数执行</x:v>
      </x:c>
      <x:c r="O99" s="18" t="str">
        <x:v>00:38；31:29–31:46；18:10–19:04；04:27–05:34；19:55–20:05；43:54；此前 U51</x:v>
      </x:c>
    </x:row>
    <x:row r="100" ht="104" customHeight="1">
      <x:c r="A100" s="30" t="n">
        <x:v>46302</x:v>
      </x:c>
      <x:c r="B100" s="15" t="str">
        <x:v>方舟AI</x:v>
      </x:c>
      <x:c r="C100" s="15" t="str">
        <x:v>发布</x:v>
      </x:c>
      <x:c r="D100" s="15" t="str">
        <x:v>造型或场景的一处修改</x:v>
      </x:c>
      <x:c r="E100" s="15" t="str">
        <x:v>从岗位视角解释审美决定怎样进入成片。</x:v>
      </x:c>
      <x:c r="F100" s="15" t="str">
        <x:v>与方舟智创的作品发布对应，本号保留真实制作与专业过程视角。</x:v>
      </x:c>
      <x:c r="G100" s="15" t="str">
        <x:v>使用过审素材，按已确认账号执行。</x:v>
      </x:c>
      <x:c r="H100" s="15" t="str">
        <x:v>F3 / H2</x:v>
      </x:c>
      <x:c r="I100" s="20" t="str">
        <x:v>待确认</x:v>
      </x:c>
      <x:c r="J100" s="20"/>
      <x:c r="K100" s="21"/>
      <x:c r="L100" s="20"/>
      <x:c r="M100" s="20"/>
      <x:c r="N100" s="15" t="str">
        <x:v>1 条建议</x:v>
      </x:c>
      <x:c r="O100" s="15" t="str">
        <x:v>11:50–13:53；41:32–41:40；13:12–13:53；42:06–42:22；45:30–46:23</x:v>
      </x:c>
    </x:row>
    <x:row r="101" ht="104" customHeight="1">
      <x:c r="A101" s="31" t="n">
        <x:v>46302</x:v>
      </x:c>
      <x:c r="B101" s="18" t="str">
        <x:v>yoyo真人小号</x:v>
      </x:c>
      <x:c r="C101" s="18" t="str">
        <x:v>发布</x:v>
      </x:c>
      <x:c r="D101" s="18" t="str">
        <x:v>制片人的一天：选装与空间</x:v>
      </x:c>
      <x:c r="E101" s="18" t="str">
        <x:v>保留比较、判断与结果，拍到真实过程才发。</x:v>
      </x:c>
      <x:c r="F101" s="18" t="str">
        <x:v>按当天内容接方舟智创与 yoyo 虚拟人号；具体账号链接由运营补齐。</x:v>
      </x:c>
      <x:c r="G101" s="18" t="str">
        <x:v>使用过审素材，按已确认账号执行。</x:v>
      </x:c>
      <x:c r="H101" s="18" t="str">
        <x:v>E1 / E3</x:v>
      </x:c>
      <x:c r="I101" s="20" t="str">
        <x:v>待确认</x:v>
      </x:c>
      <x:c r="J101" s="20"/>
      <x:c r="K101" s="21"/>
      <x:c r="L101" s="20"/>
      <x:c r="M101" s="20"/>
      <x:c r="N101" s="18" t="str">
        <x:v>1 条建议</x:v>
      </x:c>
      <x:c r="O101" s="18" t="str">
        <x:v>09:42–11:21；39:44–41:28</x:v>
      </x:c>
    </x:row>
    <x:row r="102" ht="104" customHeight="1">
      <x:c r="A102" s="30" t="n">
        <x:v>46302</x:v>
      </x:c>
      <x:c r="B102" s="15" t="str">
        <x:v>陆文川账号（未申请）</x:v>
      </x:c>
      <x:c r="C102" s="15" t="str">
        <x:v>发布</x:v>
      </x:c>
      <x:c r="D102" s="15" t="str">
        <x:v>男女主 CP 共创：男主一侧</x:v>
      </x:c>
      <x:c r="E102" s="15" t="str">
        <x:v>和女主形成两侧回应，彼此标明入口。</x:v>
      </x:c>
      <x:c r="F102" s="15" t="str">
        <x:v>相关人物号用自己的视角回应，指向同一厂牌/正片入口；不强制每号复制同片。</x:v>
      </x:c>
      <x:c r="G102" s="15" t="str">
        <x:v>陆文川账号当前未申请；该日之前开通交接成功才发布，否则由厂牌接内容。</x:v>
      </x:c>
      <x:c r="H102" s="15" t="str">
        <x:v>D2</x:v>
      </x:c>
      <x:c r="I102" s="20" t="str">
        <x:v>待确认</x:v>
      </x:c>
      <x:c r="J102" s="20"/>
      <x:c r="K102" s="21"/>
      <x:c r="L102" s="20"/>
      <x:c r="M102" s="20"/>
      <x:c r="N102" s="15" t="str">
        <x:v>1 条建议</x:v>
      </x:c>
      <x:c r="O102" s="15" t="str">
        <x:v>09:27–09:42；19:04；38:19–38:28</x:v>
      </x:c>
    </x:row>
    <x:row r="103" ht="104" customHeight="1">
      <x:c r="A103" s="31" t="n">
        <x:v>46302</x:v>
      </x:c>
      <x:c r="B103" s="18" t="str">
        <x:v>yoyo虚拟人号</x:v>
      </x:c>
      <x:c r="C103" s="18" t="str">
        <x:v>发布</x:v>
      </x:c>
      <x:c r="D103" s="18" t="str">
        <x:v>男女主 CP 共创：女主一侧</x:v>
      </x:c>
      <x:c r="E103" s="18" t="str">
        <x:v>短关系互动，只使用允许公开的信息。</x:v>
      </x:c>
      <x:c r="F103" s="18" t="str">
        <x:v>相关人物号用自己的视角回应，指向同一厂牌/正片入口；不强制每号复制同片。</x:v>
      </x:c>
      <x:c r="G103" s="18" t="str">
        <x:v>使用过审素材，按已确认账号执行。</x:v>
      </x:c>
      <x:c r="H103" s="18" t="str">
        <x:v>D2</x:v>
      </x:c>
      <x:c r="I103" s="20" t="str">
        <x:v>待确认</x:v>
      </x:c>
      <x:c r="J103" s="20"/>
      <x:c r="K103" s="21"/>
      <x:c r="L103" s="20"/>
      <x:c r="M103" s="20"/>
      <x:c r="N103" s="18" t="str">
        <x:v>1 条建议</x:v>
      </x:c>
      <x:c r="O103" s="18" t="str">
        <x:v>09:27–09:42；19:04；38:19–38:28</x:v>
      </x:c>
    </x:row>
    <x:row r="104" ht="104" customHeight="1">
      <x:c r="A104" s="30" t="n">
        <x:v>46302</x:v>
      </x:c>
      <x:c r="B104" s="15" t="str">
        <x:v>切片号</x:v>
      </x:c>
      <x:c r="C104" s="15" t="str">
        <x:v>发布</x:v>
      </x:c>
      <x:c r="D104" s="15" t="str">
        <x:v>真人讲剧的首轮切片</x:v>
      </x:c>
      <x:c r="E104" s="15" t="str">
        <x:v>有真实讲剧原料后，按切片手熟悉的方式剪发。</x:v>
      </x:c>
      <x:c r="F104" s="15" t="str">
        <x:v>yoyo 真人直播/看片原料交切片团队；切片号带准确正片入口，发片后回传链接。</x:v>
      </x:c>
      <x:c r="G104" s="15" t="str">
        <x:v>拿到真实直播/看片原料和明确可发段落后再发，不用剧情二创包代替真人切片。</x:v>
      </x:c>
      <x:c r="H104" s="15" t="str">
        <x:v>J1 / K5</x:v>
      </x:c>
      <x:c r="I104" s="20" t="str">
        <x:v>待确认</x:v>
      </x:c>
      <x:c r="J104" s="20"/>
      <x:c r="K104" s="21"/>
      <x:c r="L104" s="20"/>
      <x:c r="M104" s="20"/>
      <x:c r="N104" s="15" t="str">
        <x:v>按签约账号及条数执行</x:v>
      </x:c>
      <x:c r="O104" s="15" t="str">
        <x:v>04:27–05:34；14:25；19:04–19:29；04:27–05:34；19:55–20:05；43:54；此前 U51</x:v>
      </x:c>
    </x:row>
    <x:row r="105" ht="104" customHeight="1">
      <x:c r="A105" s="31" t="n">
        <x:v>46303</x:v>
      </x:c>
      <x:c r="B105" s="18" t="str">
        <x:v>方舟智创</x:v>
      </x:c>
      <x:c r="C105" s="18" t="str">
        <x:v>发布</x:v>
      </x:c>
      <x:c r="D105" s="18" t="str">
        <x:v>20–30 秒主预告</x:v>
      </x:c>
      <x:c r="E105" s="18" t="str">
        <x:v>集中放出正式主版本，带准确追剧入口。</x:v>
      </x:c>
      <x:c r="F105" s="18" t="str">
        <x:v>方舟智创统一发布准确作品信息，其他已确认账号按当天各自内容接续。</x:v>
      </x:c>
      <x:c r="G105" s="18" t="str">
        <x:v>使用过审素材，按已确认账号执行。</x:v>
      </x:c>
      <x:c r="H105" s="18" t="str">
        <x:v>A2</x:v>
      </x:c>
      <x:c r="I105" s="20" t="str">
        <x:v>待确认</x:v>
      </x:c>
      <x:c r="J105" s="20"/>
      <x:c r="K105" s="21"/>
      <x:c r="L105" s="20"/>
      <x:c r="M105" s="20"/>
      <x:c r="N105" s="18" t="str">
        <x:v>1 条建议</x:v>
      </x:c>
      <x:c r="O105" s="18" t="str">
        <x:v>00:38；31:29–31:46；18:10–19:04</x:v>
      </x:c>
    </x:row>
    <x:row r="106" ht="104" customHeight="1">
      <x:c r="A106" s="30" t="n">
        <x:v>46303</x:v>
      </x:c>
      <x:c r="B106" s="15" t="str">
        <x:v>yoyo大号</x:v>
      </x:c>
      <x:c r="C106" s="15" t="str">
        <x:v>发布</x:v>
      </x:c>
      <x:c r="D106" s="15" t="str">
        <x:v>大号择优支持主预告 / 参演介绍</x:v>
      </x:c>
      <x:c r="E106" s="15" t="str">
        <x:v>由 Yoyo 本人选择更适合大号的一条，重要节点集中支持。</x:v>
      </x:c>
      <x:c r="F106" s="15" t="str">
        <x:v>按当天内容接方舟智创与 yoyo 虚拟人号；具体账号链接由运营补齐。</x:v>
      </x:c>
      <x:c r="G106" s="15" t="str">
        <x:v>Yoyo 本人确认选片才发；不过关由小号或厂牌承接。</x:v>
      </x:c>
      <x:c r="H106" s="15" t="str">
        <x:v>A2 / C1</x:v>
      </x:c>
      <x:c r="I106" s="20" t="str">
        <x:v>待确认</x:v>
      </x:c>
      <x:c r="J106" s="20"/>
      <x:c r="K106" s="21"/>
      <x:c r="L106" s="20"/>
      <x:c r="M106" s="20"/>
      <x:c r="N106" s="15" t="str">
        <x:v>1 条建议</x:v>
      </x:c>
      <x:c r="O106" s="15" t="str">
        <x:v>00:38；31:29–31:46；18:10–19:04；07:46；30:32–31:10；32:45–33:22；36:59–37:13</x:v>
      </x:c>
    </x:row>
    <x:row r="107" ht="104" customHeight="1">
      <x:c r="A107" s="31" t="n">
        <x:v>46303</x:v>
      </x:c>
      <x:c r="B107" s="18" t="str">
        <x:v>郑允书</x:v>
      </x:c>
      <x:c r="C107" s="18" t="str">
        <x:v>发布</x:v>
      </x:c>
      <x:c r="D107" s="18" t="str">
        <x:v>郑允书接主预告 / 人物氛围</x:v>
      </x:c>
      <x:c r="E107" s="18" t="str">
        <x:v>根据实际出镜素材选择相关版本。</x:v>
      </x:c>
      <x:c r="F107" s="18" t="str">
        <x:v>按当天内容接方舟智创与 yoyo 虚拟人号；具体账号链接由运营补齐。</x:v>
      </x:c>
      <x:c r="G107" s="18" t="str">
        <x:v>郑允书账号可用性、实际角色素材与本人/运营授权需核准。</x:v>
      </x:c>
      <x:c r="H107" s="18" t="str">
        <x:v>A2 / D1</x:v>
      </x:c>
      <x:c r="I107" s="20" t="str">
        <x:v>待确认</x:v>
      </x:c>
      <x:c r="J107" s="20"/>
      <x:c r="K107" s="21"/>
      <x:c r="L107" s="20"/>
      <x:c r="M107" s="20"/>
      <x:c r="N107" s="18" t="str">
        <x:v>1 条建议</x:v>
      </x:c>
      <x:c r="O107" s="18" t="str">
        <x:v>00:38；31:29–31:46；18:10–19:04；09:10–09:42；38:19–39:40</x:v>
      </x:c>
    </x:row>
    <x:row r="108" ht="104" customHeight="1">
      <x:c r="A108" s="30" t="n">
        <x:v>46303</x:v>
      </x:c>
      <x:c r="B108" s="15" t="str">
        <x:v>yoyo虚拟人号</x:v>
      </x:c>
      <x:c r="C108" s="15" t="str">
        <x:v>发布</x:v>
      </x:c>
      <x:c r="D108" s="15" t="str">
        <x:v>虚拟女主接主预告</x:v>
      </x:c>
      <x:c r="E108" s="15" t="str">
        <x:v>账号用自己的表达接主版本，指向同一个作品入口。</x:v>
      </x:c>
      <x:c r="F108" s="15" t="str">
        <x:v>相关人物号用自己的视角回应，指向同一厂牌/正片入口；不强制每号复制同片。</x:v>
      </x:c>
      <x:c r="G108" s="15" t="str">
        <x:v>使用过审素材，按已确认账号执行。</x:v>
      </x:c>
      <x:c r="H108" s="15" t="str">
        <x:v>A2</x:v>
      </x:c>
      <x:c r="I108" s="20" t="str">
        <x:v>待确认</x:v>
      </x:c>
      <x:c r="J108" s="20"/>
      <x:c r="K108" s="21"/>
      <x:c r="L108" s="20"/>
      <x:c r="M108" s="20"/>
      <x:c r="N108" s="15" t="str">
        <x:v>1 条建议</x:v>
      </x:c>
      <x:c r="O108" s="15" t="str">
        <x:v>00:38；31:29–31:46；18:10–19:04</x:v>
      </x:c>
    </x:row>
    <x:row r="109" ht="104" customHeight="1">
      <x:c r="A109" s="31" t="n">
        <x:v>46303</x:v>
      </x:c>
      <x:c r="B109" s="18" t="str">
        <x:v>营销号</x:v>
      </x:c>
      <x:c r="C109" s="18" t="str">
        <x:v>发布</x:v>
      </x:c>
      <x:c r="D109" s="18" t="str">
        <x:v>营销号集中扩散主预告</x:v>
      </x:c>
      <x:c r="E109" s="18" t="str">
        <x:v>确认合作的成熟 AI 剧二创号集中上线不同剪法。</x:v>
      </x:c>
      <x:c r="F109" s="18" t="str">
        <x:v>方舟智创提供已审简介、先导或已播高光；成熟 AI 剧账号独立重剪，按约定日期集中发布。</x:v>
      </x:c>
      <x:c r="G109" s="18" t="str">
        <x:v>逐号真实报价和合作条件落实；用已获准公开的素材，候选数与实际发片数分开。</x:v>
      </x:c>
      <x:c r="H109" s="18" t="str">
        <x:v>A2 / K5</x:v>
      </x:c>
      <x:c r="I109" s="20" t="str">
        <x:v>待确认</x:v>
      </x:c>
      <x:c r="J109" s="20"/>
      <x:c r="K109" s="21"/>
      <x:c r="L109" s="20"/>
      <x:c r="M109" s="20"/>
      <x:c r="N109" s="18" t="str">
        <x:v>按签约账号及条数执行</x:v>
      </x:c>
      <x:c r="O109" s="18" t="str">
        <x:v>00:38；31:29–31:46；18:10–19:04；04:27–05:34；19:55–20:05；43:54；此前 U51</x:v>
      </x:c>
    </x:row>
    <x:row r="110" ht="104" customHeight="1">
      <x:c r="A110" s="30" t="n">
        <x:v>46304</x:v>
      </x:c>
      <x:c r="B110" s="15" t="str">
        <x:v>方舟智创</x:v>
      </x:c>
      <x:c r="C110" s="15" t="str">
        <x:v>发布</x:v>
      </x:c>
      <x:c r="D110" s="15" t="str">
        <x:v>明日开播与追剧日历</x:v>
      </x:c>
      <x:c r="E110" s="15" t="str">
        <x:v>写清 10/10 的实际时刻与正片账号；未定档则取消倒计时。</x:v>
      </x:c>
      <x:c r="F110" s="15" t="str">
        <x:v>方舟智创统一发布准确作品信息，其他已确认账号按当天各自内容接续。</x:v>
      </x:c>
      <x:c r="G110" s="15" t="str">
        <x:v>使用过审素材，按已确认账号执行。 10/10 首播、10/15 第二集为工作目标，若改期，相关内容随之调整。</x:v>
      </x:c>
      <x:c r="H110" s="15" t="str">
        <x:v>A4</x:v>
      </x:c>
      <x:c r="I110" s="20" t="str">
        <x:v>待确认</x:v>
      </x:c>
      <x:c r="J110" s="20"/>
      <x:c r="K110" s="21"/>
      <x:c r="L110" s="20"/>
      <x:c r="M110" s="20"/>
      <x:c r="N110" s="15" t="str">
        <x:v>1 条建议</x:v>
      </x:c>
      <x:c r="O110" s="15" t="str">
        <x:v>05:59；18:32；19:04</x:v>
      </x:c>
    </x:row>
    <x:row r="111" ht="104" customHeight="1">
      <x:c r="A111" s="31" t="n">
        <x:v>46304</x:v>
      </x:c>
      <x:c r="B111" s="18" t="str">
        <x:v>yoyo矩阵号</x:v>
      </x:c>
      <x:c r="C111" s="18" t="str">
        <x:v>发布</x:v>
      </x:c>
      <x:c r="D111" s="18" t="str">
        <x:v>已确认矩阵号接开播提醒</x:v>
      </x:c>
      <x:c r="E111" s="18" t="str">
        <x:v>只让适配且确认参与的号发布。</x:v>
      </x:c>
      <x:c r="F111" s="18" t="str">
        <x:v>按当天内容接方舟智创与 yoyo 虚拟人号；具体账号链接由运营补齐。</x:v>
      </x:c>
      <x:c r="G111" s="18" t="str">
        <x:v>仅限筛选后已确认参与的矩阵号；非全矩阵统一发。 10/10 首播、10/15 第二集为工作目标，若改期，相关内容随之调整。</x:v>
      </x:c>
      <x:c r="H111" s="18" t="str">
        <x:v>A4</x:v>
      </x:c>
      <x:c r="I111" s="20" t="str">
        <x:v>待确认</x:v>
      </x:c>
      <x:c r="J111" s="20"/>
      <x:c r="K111" s="21"/>
      <x:c r="L111" s="20"/>
      <x:c r="M111" s="20"/>
      <x:c r="N111" s="18" t="str">
        <x:v>1 条建议</x:v>
      </x:c>
      <x:c r="O111" s="18" t="str">
        <x:v>05:59；18:32；19:04</x:v>
      </x:c>
    </x:row>
    <x:row r="112" ht="104" customHeight="1">
      <x:c r="A112" s="30" t="n">
        <x:v>46304</x:v>
      </x:c>
      <x:c r="B112" s="15" t="str">
        <x:v>yoyo真人小号</x:v>
      </x:c>
      <x:c r="C112" s="15" t="str">
        <x:v>筹备</x:v>
      </x:c>
      <x:c r="D112" s="15" t="str">
        <x:v>直播或陪看片彩排</x:v>
      </x:c>
      <x:c r="E112" s="15" t="str">
        <x:v>确认账号、出镜人、收音、可展示画面与正片入口。</x:v>
      </x:c>
      <x:c r="F112" s="15" t="str">
        <x:v>按当天内容接方舟智创与 yoyo 虚拟人号；具体账号链接由运营补齐。</x:v>
      </x:c>
      <x:c r="G112" s="15" t="str">
        <x:v>使用过审素材，按已确认账号执行。 10/10 首播、10/15 第二集为工作目标，若改期，相关内容随之调整。</x:v>
      </x:c>
      <x:c r="H112" s="15" t="str">
        <x:v>J1 / J2</x:v>
      </x:c>
      <x:c r="I112" s="20" t="str">
        <x:v>待确认</x:v>
      </x:c>
      <x:c r="J112" s="20"/>
      <x:c r="K112" s="21"/>
      <x:c r="L112" s="20"/>
      <x:c r="M112" s="20"/>
      <x:c r="N112" s="15" t="str">
        <x:v>当天执行</x:v>
      </x:c>
      <x:c r="O112" s="15" t="str">
        <x:v>04:27–05:34；14:25；19:04–19:29；14:35–15:10；42:35–42:51</x:v>
      </x:c>
    </x:row>
    <x:row r="113" ht="104" customHeight="1">
      <x:c r="A113" s="31" t="n">
        <x:v>46304</x:v>
      </x:c>
      <x:c r="B113" s="18" t="str">
        <x:v>陆文川账号（未申请）</x:v>
      </x:c>
      <x:c r="C113" s="18" t="str">
        <x:v>发布</x:v>
      </x:c>
      <x:c r="D113" s="18" t="str">
        <x:v>陆文川开播提醒</x:v>
      </x:c>
      <x:c r="E113" s="18" t="str">
        <x:v>用人物短表达接开播信息。</x:v>
      </x:c>
      <x:c r="F113" s="18" t="str">
        <x:v>相关人物号用自己的视角回应，指向同一厂牌/正片入口；不强制每号复制同片。</x:v>
      </x:c>
      <x:c r="G113" s="18" t="str">
        <x:v>陆文川账号当前未申请；该日之前开通交接成功才发布，否则由厂牌接内容。 10/10 首播、10/15 第二集为工作目标，若改期，相关内容随之调整。</x:v>
      </x:c>
      <x:c r="H113" s="18" t="str">
        <x:v>A4 / D1</x:v>
      </x:c>
      <x:c r="I113" s="20" t="str">
        <x:v>待确认</x:v>
      </x:c>
      <x:c r="J113" s="20"/>
      <x:c r="K113" s="21"/>
      <x:c r="L113" s="20"/>
      <x:c r="M113" s="20"/>
      <x:c r="N113" s="18" t="str">
        <x:v>1 条建议</x:v>
      </x:c>
      <x:c r="O113" s="18" t="str">
        <x:v>05:59；18:32；19:04；09:10–09:42；38:19–39:40</x:v>
      </x:c>
    </x:row>
    <x:row r="114" ht="104" customHeight="1">
      <x:c r="A114" s="30" t="n">
        <x:v>46304</x:v>
      </x:c>
      <x:c r="B114" s="15" t="str">
        <x:v>yoyo虚拟人号</x:v>
      </x:c>
      <x:c r="C114" s="15" t="str">
        <x:v>发布</x:v>
      </x:c>
      <x:c r="D114" s="15" t="str">
        <x:v>女主开播提醒</x:v>
      </x:c>
      <x:c r="E114" s="15" t="str">
        <x:v>简短角色/艺人表达，接准确观看入口。</x:v>
      </x:c>
      <x:c r="F114" s="15" t="str">
        <x:v>相关人物号用自己的视角回应，指向同一厂牌/正片入口；不强制每号复制同片。</x:v>
      </x:c>
      <x:c r="G114" s="15" t="str">
        <x:v>使用过审素材，按已确认账号执行。 10/10 首播、10/15 第二集为工作目标，若改期，相关内容随之调整。</x:v>
      </x:c>
      <x:c r="H114" s="15" t="str">
        <x:v>A4</x:v>
      </x:c>
      <x:c r="I114" s="20" t="str">
        <x:v>待确认</x:v>
      </x:c>
      <x:c r="J114" s="20"/>
      <x:c r="K114" s="21"/>
      <x:c r="L114" s="20"/>
      <x:c r="M114" s="20"/>
      <x:c r="N114" s="15" t="str">
        <x:v>1 条建议</x:v>
      </x:c>
      <x:c r="O114" s="15" t="str">
        <x:v>05:59；18:32；19:04</x:v>
      </x:c>
    </x:row>
    <x:row r="115" ht="104" customHeight="1">
      <x:c r="A115" s="31" t="n">
        <x:v>46304</x:v>
      </x:c>
      <x:c r="B115" s="18" t="str">
        <x:v>营销号</x:v>
      </x:c>
      <x:c r="C115" s="18" t="str">
        <x:v>筹备</x:v>
      </x:c>
      <x:c r="D115" s="18" t="str">
        <x:v>核对首播后的高光包与合作批次</x:v>
      </x:c>
      <x:c r="E115" s="18" t="str">
        <x:v>播前包和播后剧透包隔开，避免提前泄露。</x:v>
      </x:c>
      <x:c r="F115" s="18" t="str">
        <x:v>方舟智创提供已审简介、先导或已播高光；成熟 AI 剧账号独立重剪，按约定日期集中发布。</x:v>
      </x:c>
      <x:c r="G115" s="18" t="str">
        <x:v>逐号真实报价和合作条件落实；用已获准公开的素材，候选数与实际发片数分开。 10/10 首播、10/15 第二集为工作目标，若改期，相关内容随之调整。</x:v>
      </x:c>
      <x:c r="H115" s="18" t="str">
        <x:v>K5</x:v>
      </x:c>
      <x:c r="I115" s="20" t="str">
        <x:v>待确认</x:v>
      </x:c>
      <x:c r="J115" s="20"/>
      <x:c r="K115" s="21"/>
      <x:c r="L115" s="20"/>
      <x:c r="M115" s="20"/>
      <x:c r="N115" s="18" t="str">
        <x:v>当天执行</x:v>
      </x:c>
      <x:c r="O115" s="18" t="str">
        <x:v>04:27–05:34；19:55–20:05；43:54；此前 U51</x:v>
      </x:c>
    </x:row>
    <x:row r="116" ht="104" customHeight="1">
      <x:c r="A116" s="30" t="n">
        <x:v>46304</x:v>
      </x:c>
      <x:c r="B116" s="15" t="str">
        <x:v>切片号</x:v>
      </x:c>
      <x:c r="C116" s="15" t="str">
        <x:v>筹备</x:v>
      </x:c>
      <x:c r="D116" s="15" t="str">
        <x:v>准备首播直播切片交接</x:v>
      </x:c>
      <x:c r="E116" s="15" t="str">
        <x:v>确定取流、原料、时间点标记、交付人和首批切片号。</x:v>
      </x:c>
      <x:c r="F116" s="15" t="str">
        <x:v>yoyo 真人直播/看片原料交切片团队；切片号带准确正片入口，发片后回传链接。</x:v>
      </x:c>
      <x:c r="G116" s="15" t="str">
        <x:v>拿到真实直播/看片原料和明确可发段落后再发，不用剧情二创包代替真人切片。 10/10 首播、10/15 第二集为工作目标，若改期，相关内容随之调整。</x:v>
      </x:c>
      <x:c r="H116" s="15" t="str">
        <x:v>J1 / K5</x:v>
      </x:c>
      <x:c r="I116" s="20" t="str">
        <x:v>待确认</x:v>
      </x:c>
      <x:c r="J116" s="20"/>
      <x:c r="K116" s="21"/>
      <x:c r="L116" s="20"/>
      <x:c r="M116" s="20"/>
      <x:c r="N116" s="15" t="str">
        <x:v>当天执行</x:v>
      </x:c>
      <x:c r="O116" s="15" t="str">
        <x:v>04:27–05:34；14:25；19:04–19:29；04:27–05:34；19:55–20:05；43:54；此前 U51</x:v>
      </x:c>
    </x:row>
    <x:row r="117" ht="104" customHeight="1">
      <x:c r="A117" s="31" t="n">
        <x:v>46305</x:v>
      </x:c>
      <x:c r="B117" s="18" t="str">
        <x:v>方舟AI</x:v>
      </x:c>
      <x:c r="C117" s="18" t="str">
        <x:v>筹备</x:v>
      </x:c>
      <x:c r="D117" s="18" t="str">
        <x:v>准备首集声音与制作对照</x:v>
      </x:c>
      <x:c r="E117" s="18" t="str">
        <x:v>挑本集一处真实制作改变，供 10/11 发布。</x:v>
      </x:c>
      <x:c r="F117" s="18" t="str">
        <x:v>与方舟智创的作品发布对应，本号保留真实制作与专业过程视角。</x:v>
      </x:c>
      <x:c r="G117" s="18" t="str">
        <x:v>使用过审素材，按已确认账号执行。 10/10 首播、10/15 第二集为工作目标，若改期，相关内容随之调整。</x:v>
      </x:c>
      <x:c r="H117" s="18" t="str">
        <x:v>F4 / F5</x:v>
      </x:c>
      <x:c r="I117" s="20" t="str">
        <x:v>待确认</x:v>
      </x:c>
      <x:c r="J117" s="20"/>
      <x:c r="K117" s="21"/>
      <x:c r="L117" s="20"/>
      <x:c r="M117" s="20"/>
      <x:c r="N117" s="18" t="str">
        <x:v>当天执行</x:v>
      </x:c>
      <x:c r="O117" s="18" t="str">
        <x:v>13:53–14:10；41:40–42:22</x:v>
      </x:c>
    </x:row>
    <x:row r="118" ht="104" customHeight="1">
      <x:c r="A118" s="30" t="n">
        <x:v>46305</x:v>
      </x:c>
      <x:c r="B118" s="15" t="str">
        <x:v>方舟智创</x:v>
      </x:c>
      <x:c r="C118" s="15" t="str">
        <x:v>发布</x:v>
      </x:c>
      <x:c r="D118" s="15" t="str">
        <x:v>第一集正片与观看入口</x:v>
      </x:c>
      <x:c r="E118" s="15" t="str">
        <x:v>按首播筹备目标上线首集；若实际正片在另一个已核准号，本号只发准确入口。</x:v>
      </x:c>
      <x:c r="F118" s="15" t="str">
        <x:v>方舟智创统一发布准确作品信息，其他已确认账号按当天各自内容接续。</x:v>
      </x:c>
      <x:c r="G118" s="15" t="str">
        <x:v>使用过审素材，按已确认账号执行。 10/10 首播、10/15 第二集为工作目标，若改期，相关内容随之调整。</x:v>
      </x:c>
      <x:c r="H118" s="15" t="str">
        <x:v>A5</x:v>
      </x:c>
      <x:c r="I118" s="20" t="str">
        <x:v>待确认</x:v>
      </x:c>
      <x:c r="J118" s="20"/>
      <x:c r="K118" s="21"/>
      <x:c r="L118" s="20"/>
      <x:c r="M118" s="20"/>
      <x:c r="N118" s="15" t="str">
        <x:v>1 条建议</x:v>
      </x:c>
      <x:c r="O118" s="15" t="str">
        <x:v>19:29–20:05；43:54；44:09–44:54</x:v>
      </x:c>
    </x:row>
    <x:row r="119" ht="104" customHeight="1">
      <x:c r="A119" s="31" t="n">
        <x:v>46305</x:v>
      </x:c>
      <x:c r="B119" s="18" t="str">
        <x:v>yoyo矩阵号</x:v>
      </x:c>
      <x:c r="C119" s="18" t="str">
        <x:v>发布</x:v>
      </x:c>
      <x:c r="D119" s="18" t="str">
        <x:v>参与矩阵号接首播</x:v>
      </x:c>
      <x:c r="E119" s="18" t="str">
        <x:v>按各号已经确认的内容与观看入口执行。</x:v>
      </x:c>
      <x:c r="F119" s="18" t="str">
        <x:v>按当天内容接方舟智创与 yoyo 虚拟人号；具体账号链接由运营补齐。</x:v>
      </x:c>
      <x:c r="G119" s="18" t="str">
        <x:v>仅限筛选后已确认参与的矩阵号；非全矩阵统一发。 10/10 首播、10/15 第二集为工作目标，若改期，相关内容随之调整。</x:v>
      </x:c>
      <x:c r="H119" s="18" t="str">
        <x:v>A5</x:v>
      </x:c>
      <x:c r="I119" s="20" t="str">
        <x:v>待确认</x:v>
      </x:c>
      <x:c r="J119" s="20"/>
      <x:c r="K119" s="21"/>
      <x:c r="L119" s="20"/>
      <x:c r="M119" s="20"/>
      <x:c r="N119" s="18" t="str">
        <x:v>1 条建议</x:v>
      </x:c>
      <x:c r="O119" s="18" t="str">
        <x:v>19:29–20:05；43:54；44:09–44:54</x:v>
      </x:c>
    </x:row>
    <x:row r="120" ht="104" customHeight="1">
      <x:c r="A120" s="30" t="n">
        <x:v>46305</x:v>
      </x:c>
      <x:c r="B120" s="15" t="str">
        <x:v>yoyo真人小号</x:v>
      </x:c>
      <x:c r="C120" s="15" t="str">
        <x:v>直播</x:v>
      </x:c>
      <x:c r="D120" s="15" t="str">
        <x:v>首播直播 / 陪看片</x:v>
      </x:c>
      <x:c r="E120" s="15" t="str">
        <x:v>本人讲参与、看已上线画面、回答问题，留下真实切片原料。</x:v>
      </x:c>
      <x:c r="F120" s="15" t="str">
        <x:v>按当天内容接方舟智创与 yoyo 虚拟人号；具体账号链接由运营补齐。</x:v>
      </x:c>
      <x:c r="G120" s="15" t="str">
        <x:v>使用过审素材，按已确认账号执行。 10/10 首播、10/15 第二集为工作目标，若改期，相关内容随之调整。</x:v>
      </x:c>
      <x:c r="H120" s="15" t="str">
        <x:v>J1 / J2</x:v>
      </x:c>
      <x:c r="I120" s="20" t="str">
        <x:v>待确认</x:v>
      </x:c>
      <x:c r="J120" s="20"/>
      <x:c r="K120" s="21"/>
      <x:c r="L120" s="20"/>
      <x:c r="M120" s="20"/>
      <x:c r="N120" s="15" t="str">
        <x:v>1 场建议</x:v>
      </x:c>
      <x:c r="O120" s="15" t="str">
        <x:v>04:27–05:34；14:25；19:04–19:29；14:35–15:10；42:35–42:51</x:v>
      </x:c>
    </x:row>
    <x:row r="121" ht="104" customHeight="1">
      <x:c r="A121" s="31" t="n">
        <x:v>46305</x:v>
      </x:c>
      <x:c r="B121" s="18" t="str">
        <x:v>yoyo大号</x:v>
      </x:c>
      <x:c r="C121" s="18" t="str">
        <x:v>发布</x:v>
      </x:c>
      <x:c r="D121" s="18" t="str">
        <x:v>大号开播支持，择优一条</x:v>
      </x:c>
      <x:c r="E121" s="18" t="str">
        <x:v>可用真人安利或正式预告支持；本人未确认则不占大号。</x:v>
      </x:c>
      <x:c r="F121" s="18" t="str">
        <x:v>按当天内容接方舟智创与 yoyo 虚拟人号；具体账号链接由运营补齐。</x:v>
      </x:c>
      <x:c r="G121" s="18" t="str">
        <x:v>Yoyo 本人确认选片才发；不过关由小号或厂牌承接。 10/10 首播、10/15 第二集为工作目标，若改期，相关内容随之调整。</x:v>
      </x:c>
      <x:c r="H121" s="18" t="str">
        <x:v>C1 / A2</x:v>
      </x:c>
      <x:c r="I121" s="20" t="str">
        <x:v>待确认</x:v>
      </x:c>
      <x:c r="J121" s="20"/>
      <x:c r="K121" s="21"/>
      <x:c r="L121" s="20"/>
      <x:c r="M121" s="20"/>
      <x:c r="N121" s="18" t="str">
        <x:v>1 条建议</x:v>
      </x:c>
      <x:c r="O121" s="18" t="str">
        <x:v>07:46；30:32–31:10；32:45–33:22；36:59–37:13；00:38；31:29–31:46；18:10–19:04</x:v>
      </x:c>
    </x:row>
    <x:row r="122" ht="104" customHeight="1">
      <x:c r="A122" s="30" t="n">
        <x:v>46305</x:v>
      </x:c>
      <x:c r="B122" s="15" t="str">
        <x:v>陆文川账号（未申请）</x:v>
      </x:c>
      <x:c r="C122" s="15" t="str">
        <x:v>发布</x:v>
      </x:c>
      <x:c r="D122" s="15" t="str">
        <x:v>陆文川的开播营业</x:v>
      </x:c>
      <x:c r="E122" s="15" t="str">
        <x:v>围绕首集已公开内容回应，接正片入口。</x:v>
      </x:c>
      <x:c r="F122" s="15" t="str">
        <x:v>相关人物号用自己的视角回应，指向同一厂牌/正片入口；不强制每号复制同片。</x:v>
      </x:c>
      <x:c r="G122" s="15" t="str">
        <x:v>陆文川账号当前未申请；该日之前开通交接成功才发布，否则由厂牌接内容。 10/10 首播、10/15 第二集为工作目标，若改期，相关内容随之调整。</x:v>
      </x:c>
      <x:c r="H122" s="15" t="str">
        <x:v>D1 / A5</x:v>
      </x:c>
      <x:c r="I122" s="20" t="str">
        <x:v>待确认</x:v>
      </x:c>
      <x:c r="J122" s="20"/>
      <x:c r="K122" s="21"/>
      <x:c r="L122" s="20"/>
      <x:c r="M122" s="20"/>
      <x:c r="N122" s="15" t="str">
        <x:v>1 条建议</x:v>
      </x:c>
      <x:c r="O122" s="15" t="str">
        <x:v>09:10–09:42；38:19–39:40；19:29–20:05；43:54；44:09–44:54</x:v>
      </x:c>
    </x:row>
    <x:row r="123" ht="104" customHeight="1">
      <x:c r="A123" s="31" t="n">
        <x:v>46305</x:v>
      </x:c>
      <x:c r="B123" s="18" t="str">
        <x:v>郑允书</x:v>
      </x:c>
      <x:c r="C123" s="18" t="str">
        <x:v>发布</x:v>
      </x:c>
      <x:c r="D123" s="18" t="str">
        <x:v>郑允书开播支持</x:v>
      </x:c>
      <x:c r="E123" s="18" t="str">
        <x:v>有当集相关镜头用当集，没有则用已审人物亮相。</x:v>
      </x:c>
      <x:c r="F123" s="18" t="str">
        <x:v>按当天内容接方舟智创与 yoyo 虚拟人号；具体账号链接由运营补齐。</x:v>
      </x:c>
      <x:c r="G123" s="18" t="str">
        <x:v>郑允书账号可用性、实际角色素材与本人/运营授权需核准。 10/10 首播、10/15 第二集为工作目标，若改期，相关内容随之调整。</x:v>
      </x:c>
      <x:c r="H123" s="18" t="str">
        <x:v>D1 / A4</x:v>
      </x:c>
      <x:c r="I123" s="20" t="str">
        <x:v>待确认</x:v>
      </x:c>
      <x:c r="J123" s="20"/>
      <x:c r="K123" s="21"/>
      <x:c r="L123" s="20"/>
      <x:c r="M123" s="20"/>
      <x:c r="N123" s="18" t="str">
        <x:v>1 条建议</x:v>
      </x:c>
      <x:c r="O123" s="18" t="str">
        <x:v>09:10–09:42；38:19–39:40；05:59；18:32；19:04</x:v>
      </x:c>
    </x:row>
    <x:row r="124" ht="104" customHeight="1">
      <x:c r="A124" s="30" t="n">
        <x:v>46305</x:v>
      </x:c>
      <x:c r="B124" s="15" t="str">
        <x:v>yoyo虚拟人号</x:v>
      </x:c>
      <x:c r="C124" s="15" t="str">
        <x:v>发布</x:v>
      </x:c>
      <x:c r="D124" s="15" t="str">
        <x:v>女主开播片与当集高光</x:v>
      </x:c>
      <x:c r="E124" s="15" t="str">
        <x:v>正片可看后再发当集画面，引向完整集。</x:v>
      </x:c>
      <x:c r="F124" s="15" t="str">
        <x:v>相关人物号用自己的视角回应，指向同一厂牌/正片入口；不强制每号复制同片。</x:v>
      </x:c>
      <x:c r="G124" s="15" t="str">
        <x:v>使用过审素材，按已确认账号执行。 10/10 首播、10/15 第二集为工作目标，若改期，相关内容随之调整。</x:v>
      </x:c>
      <x:c r="H124" s="15" t="str">
        <x:v>A5 / D1</x:v>
      </x:c>
      <x:c r="I124" s="20" t="str">
        <x:v>待确认</x:v>
      </x:c>
      <x:c r="J124" s="20"/>
      <x:c r="K124" s="21"/>
      <x:c r="L124" s="20"/>
      <x:c r="M124" s="20"/>
      <x:c r="N124" s="15" t="str">
        <x:v>1 条建议</x:v>
      </x:c>
      <x:c r="O124" s="15" t="str">
        <x:v>19:29–20:05；43:54；44:09–44:54；09:10–09:42；38:19–39:40</x:v>
      </x:c>
    </x:row>
    <x:row r="125" ht="104" customHeight="1">
      <x:c r="A125" s="31" t="n">
        <x:v>46305</x:v>
      </x:c>
      <x:c r="B125" s="18" t="str">
        <x:v>营销号</x:v>
      </x:c>
      <x:c r="C125" s="18" t="str">
        <x:v>发布</x:v>
      </x:c>
      <x:c r="D125" s="18" t="str">
        <x:v>首播高光二创集中上线</x:v>
      </x:c>
      <x:c r="E125" s="18" t="str">
        <x:v>正片已上线后，按合约批次交剧情高光/CP/解说包；500 是候选覆盖目标。</x:v>
      </x:c>
      <x:c r="F125" s="18" t="str">
        <x:v>方舟智创提供已审简介、先导或已播高光；成熟 AI 剧账号独立重剪，按约定日期集中发布。</x:v>
      </x:c>
      <x:c r="G125" s="18" t="str">
        <x:v>逐号真实报价和合作条件落实；用已获准公开的素材，候选数与实际发片数分开。 10/10 首播、10/15 第二集为工作目标，若改期，相关内容随之调整。</x:v>
      </x:c>
      <x:c r="H125" s="18" t="str">
        <x:v>A5 / K5</x:v>
      </x:c>
      <x:c r="I125" s="20" t="str">
        <x:v>待确认</x:v>
      </x:c>
      <x:c r="J125" s="20"/>
      <x:c r="K125" s="21"/>
      <x:c r="L125" s="20"/>
      <x:c r="M125" s="20"/>
      <x:c r="N125" s="18" t="str">
        <x:v>按签约账号及条数执行</x:v>
      </x:c>
      <x:c r="O125" s="18" t="str">
        <x:v>19:29–20:05；43:54；44:09–44:54；04:27–05:34；19:55–20:05；43:54；此前 U51</x:v>
      </x:c>
    </x:row>
    <x:row r="126" ht="104" customHeight="1">
      <x:c r="A126" s="30" t="n">
        <x:v>46305</x:v>
      </x:c>
      <x:c r="B126" s="15" t="str">
        <x:v>切片号</x:v>
      </x:c>
      <x:c r="C126" s="15" t="str">
        <x:v>发布</x:v>
      </x:c>
      <x:c r="D126" s="15" t="str">
        <x:v>直播结束后发首轮真人切片</x:v>
      </x:c>
      <x:c r="E126" s="15" t="str">
        <x:v>只有实际原料交到才发；直播较晚，顺延至 10/11，不提前捏造直播内容。</x:v>
      </x:c>
      <x:c r="F126" s="15" t="str">
        <x:v>yoyo 真人直播/看片原料交切片团队；切片号带准确正片入口，发片后回传链接。</x:v>
      </x:c>
      <x:c r="G126" s="15" t="str">
        <x:v>拿到真实直播/看片原料和明确可发段落后再发，不用剧情二创包代替真人切片。 10/10 首播、10/15 第二集为工作目标，若改期，相关内容随之调整。</x:v>
      </x:c>
      <x:c r="H126" s="15" t="str">
        <x:v>J1 / K5</x:v>
      </x:c>
      <x:c r="I126" s="20" t="str">
        <x:v>待确认</x:v>
      </x:c>
      <x:c r="J126" s="20"/>
      <x:c r="K126" s="21"/>
      <x:c r="L126" s="20"/>
      <x:c r="M126" s="20"/>
      <x:c r="N126" s="15" t="str">
        <x:v>按签约账号及条数执行</x:v>
      </x:c>
      <x:c r="O126" s="15" t="str">
        <x:v>04:27–05:34；14:25；19:04–19:29；04:27–05:34；19:55–20:05；43:54；此前 U51</x:v>
      </x:c>
    </x:row>
    <x:row r="127" ht="104" customHeight="1">
      <x:c r="A127" s="31" t="n">
        <x:v>46306</x:v>
      </x:c>
      <x:c r="B127" s="18" t="str">
        <x:v>方舟AI</x:v>
      </x:c>
      <x:c r="C127" s="18" t="str">
        <x:v>发布</x:v>
      </x:c>
      <x:c r="D127" s="18" t="str">
        <x:v>首集声音与节奏前后对照</x:v>
      </x:c>
      <x:c r="E127" s="18" t="str">
        <x:v>用已播画面解释一处声音或剪辑决定。</x:v>
      </x:c>
      <x:c r="F127" s="18" t="str">
        <x:v>与方舟智创的作品发布对应，本号保留真实制作与专业过程视角。</x:v>
      </x:c>
      <x:c r="G127" s="18" t="str">
        <x:v>使用过审素材，按已确认账号执行。 10/10 首播、10/15 第二集为工作目标，若改期，相关内容随之调整。</x:v>
      </x:c>
      <x:c r="H127" s="18" t="str">
        <x:v>F4 / F5</x:v>
      </x:c>
      <x:c r="I127" s="20" t="str">
        <x:v>待确认</x:v>
      </x:c>
      <x:c r="J127" s="20"/>
      <x:c r="K127" s="21"/>
      <x:c r="L127" s="20"/>
      <x:c r="M127" s="20"/>
      <x:c r="N127" s="18" t="str">
        <x:v>1 条建议</x:v>
      </x:c>
      <x:c r="O127" s="18" t="str">
        <x:v>13:53–14:10；41:40–42:22</x:v>
      </x:c>
    </x:row>
    <x:row r="128" ht="104" customHeight="1">
      <x:c r="A128" s="30" t="n">
        <x:v>46306</x:v>
      </x:c>
      <x:c r="B128" s="15" t="str">
        <x:v>方舟智创</x:v>
      </x:c>
      <x:c r="C128" s="15" t="str">
        <x:v>筹备</x:v>
      </x:c>
      <x:c r="D128" s="15" t="str">
        <x:v>复盘真实发片和正片导流</x:v>
      </x:c>
      <x:c r="E128" s="15" t="str">
        <x:v>记录合作确认数、实际发布数、回链与后台表现；不把候选 500 当实际 500。</x:v>
      </x:c>
      <x:c r="F128" s="15" t="str">
        <x:v>方舟智创统一发布准确作品信息，其他已确认账号按当天各自内容接续。</x:v>
      </x:c>
      <x:c r="G128" s="15" t="str">
        <x:v>使用过审素材，按已确认账号执行。 10/10 首播、10/15 第二集为工作目标，若改期，相关内容随之调整。</x:v>
      </x:c>
      <x:c r="H128" s="15" t="str">
        <x:v>A5 / K5</x:v>
      </x:c>
      <x:c r="I128" s="20" t="str">
        <x:v>待确认</x:v>
      </x:c>
      <x:c r="J128" s="20"/>
      <x:c r="K128" s="21"/>
      <x:c r="L128" s="20"/>
      <x:c r="M128" s="20"/>
      <x:c r="N128" s="15" t="str">
        <x:v>当天执行</x:v>
      </x:c>
      <x:c r="O128" s="15" t="str">
        <x:v>19:29–20:05；43:54；44:09–44:54；04:27–05:34；19:55–20:05；43:54；此前 U51</x:v>
      </x:c>
    </x:row>
    <x:row r="129" ht="104" customHeight="1">
      <x:c r="A129" s="31" t="n">
        <x:v>46306</x:v>
      </x:c>
      <x:c r="B129" s="18" t="str">
        <x:v>yoyo虚拟人号</x:v>
      </x:c>
      <x:c r="C129" s="18" t="str">
        <x:v>发布</x:v>
      </x:c>
      <x:c r="D129" s="18" t="str">
        <x:v>开播后，她的日常氛围</x:v>
      </x:c>
      <x:c r="E129" s="18" t="str">
        <x:v>延续 IP 的生活感，避免连续只发广告口播。</x:v>
      </x:c>
      <x:c r="F129" s="18" t="str">
        <x:v>相关人物号用自己的视角回应，指向同一厂牌/正片入口；不强制每号复制同片。</x:v>
      </x:c>
      <x:c r="G129" s="18" t="str">
        <x:v>使用过审素材，按已确认账号执行。 10/10 首播、10/15 第二集为工作目标，若改期，相关内容随之调整。</x:v>
      </x:c>
      <x:c r="H129" s="18" t="str">
        <x:v>B1</x:v>
      </x:c>
      <x:c r="I129" s="20" t="str">
        <x:v>待确认</x:v>
      </x:c>
      <x:c r="J129" s="20"/>
      <x:c r="K129" s="21"/>
      <x:c r="L129" s="20"/>
      <x:c r="M129" s="20"/>
      <x:c r="N129" s="18" t="str">
        <x:v>1 条建议</x:v>
      </x:c>
      <x:c r="O129" s="18" t="str">
        <x:v>06:20；34:58–36:24</x:v>
      </x:c>
    </x:row>
    <x:row r="130" ht="104" customHeight="1">
      <x:c r="A130" s="30" t="n">
        <x:v>46306</x:v>
      </x:c>
      <x:c r="B130" s="15" t="str">
        <x:v>营销号</x:v>
      </x:c>
      <x:c r="C130" s="15" t="str">
        <x:v>发布</x:v>
      </x:c>
      <x:c r="D130" s="15" t="str">
        <x:v>按首播反馈追加有效二创</x:v>
      </x:c>
      <x:c r="E130" s="15" t="str">
        <x:v>继续低价包量谈判，把素材交给已证明会剪的账号。</x:v>
      </x:c>
      <x:c r="F130" s="15" t="str">
        <x:v>方舟智创提供已审简介、先导或已播高光；成熟 AI 剧账号独立重剪，按约定日期集中发布。</x:v>
      </x:c>
      <x:c r="G130" s="15" t="str">
        <x:v>逐号真实报价和合作条件落实；用已获准公开的素材，候选数与实际发片数分开。 10/10 首播、10/15 第二集为工作目标，若改期，相关内容随之调整。</x:v>
      </x:c>
      <x:c r="H130" s="15" t="str">
        <x:v>K5 / A5</x:v>
      </x:c>
      <x:c r="I130" s="20" t="str">
        <x:v>待确认</x:v>
      </x:c>
      <x:c r="J130" s="20"/>
      <x:c r="K130" s="21"/>
      <x:c r="L130" s="20"/>
      <x:c r="M130" s="20"/>
      <x:c r="N130" s="15" t="str">
        <x:v>按签约账号及条数执行</x:v>
      </x:c>
      <x:c r="O130" s="15" t="str">
        <x:v>04:27–05:34；19:55–20:05；43:54；此前 U51；19:29–20:05；43:54；44:09–44:54</x:v>
      </x:c>
    </x:row>
    <x:row r="131" ht="104" customHeight="1">
      <x:c r="A131" s="31" t="n">
        <x:v>46306</x:v>
      </x:c>
      <x:c r="B131" s="18" t="str">
        <x:v>切片号</x:v>
      </x:c>
      <x:c r="C131" s="18" t="str">
        <x:v>发布</x:v>
      </x:c>
      <x:c r="D131" s="18" t="str">
        <x:v>首播直播第二轮切片</x:v>
      </x:c>
      <x:c r="E131" s="18" t="str">
        <x:v>换一个真实观点或观看反应，不重复第一轮。</x:v>
      </x:c>
      <x:c r="F131" s="18" t="str">
        <x:v>yoyo 真人直播/看片原料交切片团队；切片号带准确正片入口，发片后回传链接。</x:v>
      </x:c>
      <x:c r="G131" s="18" t="str">
        <x:v>拿到真实直播/看片原料和明确可发段落后再发，不用剧情二创包代替真人切片。 10/10 首播、10/15 第二集为工作目标，若改期，相关内容随之调整。</x:v>
      </x:c>
      <x:c r="H131" s="18" t="str">
        <x:v>J1 / K5</x:v>
      </x:c>
      <x:c r="I131" s="20" t="str">
        <x:v>待确认</x:v>
      </x:c>
      <x:c r="J131" s="20"/>
      <x:c r="K131" s="21"/>
      <x:c r="L131" s="20"/>
      <x:c r="M131" s="20"/>
      <x:c r="N131" s="18" t="str">
        <x:v>按签约账号及条数执行</x:v>
      </x:c>
      <x:c r="O131" s="18" t="str">
        <x:v>04:27–05:34；14:25；19:04–19:29；04:27–05:34；19:55–20:05；43:54；此前 U51</x:v>
      </x:c>
    </x:row>
    <x:row r="132" ht="104" customHeight="1">
      <x:c r="A132" s="30" t="n">
        <x:v>46307</x:v>
      </x:c>
      <x:c r="B132" s="15" t="str">
        <x:v>方舟智创</x:v>
      </x:c>
      <x:c r="C132" s="15" t="str">
        <x:v>发布</x:v>
      </x:c>
      <x:c r="D132" s="15" t="str">
        <x:v>新观众从哪里开始看</x:v>
      </x:c>
      <x:c r="E132" s="15" t="str">
        <x:v>简短前情、首集入口与已经确认的后续更新信息。</x:v>
      </x:c>
      <x:c r="F132" s="15" t="str">
        <x:v>方舟智创统一发布准确作品信息，其他已确认账号按当天各自内容接续。</x:v>
      </x:c>
      <x:c r="G132" s="15" t="str">
        <x:v>使用过审素材，按已确认账号执行。 10/10 首播、10/15 第二集为工作目标，若改期，相关内容随之调整。</x:v>
      </x:c>
      <x:c r="H132" s="15" t="str">
        <x:v>A6</x:v>
      </x:c>
      <x:c r="I132" s="20" t="str">
        <x:v>待确认</x:v>
      </x:c>
      <x:c r="J132" s="20"/>
      <x:c r="K132" s="21"/>
      <x:c r="L132" s="20"/>
      <x:c r="M132" s="20"/>
      <x:c r="N132" s="15" t="str">
        <x:v>1 条建议</x:v>
      </x:c>
      <x:c r="O132" s="15" t="str">
        <x:v>05:59；19:29–20:05；21:55–22:18</x:v>
      </x:c>
    </x:row>
    <x:row r="133" ht="104" customHeight="1">
      <x:c r="A133" s="31" t="n">
        <x:v>46307</x:v>
      </x:c>
      <x:c r="B133" s="18" t="str">
        <x:v>yoyo矩阵号</x:v>
      </x:c>
      <x:c r="C133" s="18" t="str">
        <x:v>筹备</x:v>
      </x:c>
      <x:c r="D133" s="18" t="str">
        <x:v>核对首播期矩阵效果</x:v>
      </x:c>
      <x:c r="E133" s="18" t="str">
        <x:v>没有受众匹配的号停止剧宣加量，保留正常运营。</x:v>
      </x:c>
      <x:c r="F133" s="18" t="str">
        <x:v>按当天内容接方舟智创与 yoyo 虚拟人号；具体账号链接由运营补齐。</x:v>
      </x:c>
      <x:c r="G133" s="18" t="str">
        <x:v>仅限筛选后已确认参与的矩阵号；非全矩阵统一发。 10/10 首播、10/15 第二集为工作目标，若改期，相关内容随之调整。</x:v>
      </x:c>
      <x:c r="H133" s="18" t="str">
        <x:v>K3</x:v>
      </x:c>
      <x:c r="I133" s="20" t="str">
        <x:v>待确认</x:v>
      </x:c>
      <x:c r="J133" s="20"/>
      <x:c r="K133" s="21"/>
      <x:c r="L133" s="20"/>
      <x:c r="M133" s="20"/>
      <x:c r="N133" s="18" t="str">
        <x:v>当天执行</x:v>
      </x:c>
      <x:c r="O133" s="18" t="str">
        <x:v>15:20–17:28；43:21–43:54</x:v>
      </x:c>
    </x:row>
    <x:row r="134" ht="104" customHeight="1">
      <x:c r="A134" s="30" t="n">
        <x:v>46307</x:v>
      </x:c>
      <x:c r="B134" s="15" t="str">
        <x:v>陆文川账号（未申请）</x:v>
      </x:c>
      <x:c r="C134" s="15" t="str">
        <x:v>发布</x:v>
      </x:c>
      <x:c r="D134" s="15" t="str">
        <x:v>陆文川回应女主互动</x:v>
      </x:c>
      <x:c r="E134" s="15" t="str">
        <x:v>与女主共创承接，账号未就绪则取消。</x:v>
      </x:c>
      <x:c r="F134" s="15" t="str">
        <x:v>相关人物号用自己的视角回应，指向同一厂牌/正片入口；不强制每号复制同片。</x:v>
      </x:c>
      <x:c r="G134" s="15" t="str">
        <x:v>陆文川账号当前未申请；该日之前开通交接成功才发布，否则由厂牌接内容。 10/10 首播、10/15 第二集为工作目标，若改期，相关内容随之调整。</x:v>
      </x:c>
      <x:c r="H134" s="15" t="str">
        <x:v>D2</x:v>
      </x:c>
      <x:c r="I134" s="20" t="str">
        <x:v>待确认</x:v>
      </x:c>
      <x:c r="J134" s="20"/>
      <x:c r="K134" s="21"/>
      <x:c r="L134" s="20"/>
      <x:c r="M134" s="20"/>
      <x:c r="N134" s="15" t="str">
        <x:v>1 条建议</x:v>
      </x:c>
      <x:c r="O134" s="15" t="str">
        <x:v>09:27–09:42；19:04；38:19–38:28</x:v>
      </x:c>
    </x:row>
    <x:row r="135" ht="104" customHeight="1">
      <x:c r="A135" s="31" t="n">
        <x:v>46307</x:v>
      </x:c>
      <x:c r="B135" s="18" t="str">
        <x:v>yoyo虚拟人号</x:v>
      </x:c>
      <x:c r="C135" s="18" t="str">
        <x:v>发布</x:v>
      </x:c>
      <x:c r="D135" s="18" t="str">
        <x:v>男女主已播关系互动</x:v>
      </x:c>
      <x:c r="E135" s="18" t="str">
        <x:v>只拿首集已经公开的关系做短互动。</x:v>
      </x:c>
      <x:c r="F135" s="18" t="str">
        <x:v>相关人物号用自己的视角回应，指向同一厂牌/正片入口；不强制每号复制同片。</x:v>
      </x:c>
      <x:c r="G135" s="18" t="str">
        <x:v>使用过审素材，按已确认账号执行。 10/10 首播、10/15 第二集为工作目标，若改期，相关内容随之调整。</x:v>
      </x:c>
      <x:c r="H135" s="18" t="str">
        <x:v>D2</x:v>
      </x:c>
      <x:c r="I135" s="20" t="str">
        <x:v>待确认</x:v>
      </x:c>
      <x:c r="J135" s="20"/>
      <x:c r="K135" s="21"/>
      <x:c r="L135" s="20"/>
      <x:c r="M135" s="20"/>
      <x:c r="N135" s="18" t="str">
        <x:v>1 条建议</x:v>
      </x:c>
      <x:c r="O135" s="18" t="str">
        <x:v>09:27–09:42；19:04；38:19–38:28</x:v>
      </x:c>
    </x:row>
    <x:row r="136" ht="104" customHeight="1">
      <x:c r="A136" s="30" t="n">
        <x:v>46307</x:v>
      </x:c>
      <x:c r="B136" s="15" t="str">
        <x:v>营销号</x:v>
      </x:c>
      <x:c r="C136" s="15" t="str">
        <x:v>发布</x:v>
      </x:c>
      <x:c r="D136" s="15" t="str">
        <x:v>人物关系 / 解说第二批</x:v>
      </x:c>
      <x:c r="E136" s="15" t="str">
        <x:v>按各号擅长的表达独立重剪已经公开的素材。</x:v>
      </x:c>
      <x:c r="F136" s="15" t="str">
        <x:v>方舟智创提供已审简介、先导或已播高光；成熟 AI 剧账号独立重剪，按约定日期集中发布。</x:v>
      </x:c>
      <x:c r="G136" s="15" t="str">
        <x:v>逐号真实报价和合作条件落实；用已获准公开的素材，候选数与实际发片数分开。 10/10 首播、10/15 第二集为工作目标，若改期，相关内容随之调整。</x:v>
      </x:c>
      <x:c r="H136" s="15" t="str">
        <x:v>A6 / D2 / K5</x:v>
      </x:c>
      <x:c r="I136" s="20" t="str">
        <x:v>待确认</x:v>
      </x:c>
      <x:c r="J136" s="20"/>
      <x:c r="K136" s="21"/>
      <x:c r="L136" s="20"/>
      <x:c r="M136" s="20"/>
      <x:c r="N136" s="15" t="str">
        <x:v>按签约账号及条数执行</x:v>
      </x:c>
      <x:c r="O136" s="15" t="str">
        <x:v>05:59；19:29–20:05；21:55–22:18；09:27–09:42；19:04；38:19–38:28；04:27–05:34；19:55–20:05；43:54；此前 U51</x:v>
      </x:c>
    </x:row>
    <x:row r="137" ht="104" customHeight="1">
      <x:c r="A137" s="31" t="n">
        <x:v>46308</x:v>
      </x:c>
      <x:c r="B137" s="18" t="str">
        <x:v>方舟AI</x:v>
      </x:c>
      <x:c r="C137" s="18" t="str">
        <x:v>发布</x:v>
      </x:c>
      <x:c r="D137" s="18" t="str">
        <x:v>首集一处表演或画面修改</x:v>
      </x:c>
      <x:c r="E137" s="18" t="str">
        <x:v>真实版本对照，让幕后和观众刚看的那集对应。</x:v>
      </x:c>
      <x:c r="F137" s="18" t="str">
        <x:v>与方舟智创的作品发布对应，本号保留真实制作与专业过程视角。</x:v>
      </x:c>
      <x:c r="G137" s="18" t="str">
        <x:v>使用过审素材，按已确认账号执行。 10/10 首播、10/15 第二集为工作目标，若改期，相关内容随之调整。</x:v>
      </x:c>
      <x:c r="H137" s="18" t="str">
        <x:v>F2 / F5</x:v>
      </x:c>
      <x:c r="I137" s="20" t="str">
        <x:v>待确认</x:v>
      </x:c>
      <x:c r="J137" s="20"/>
      <x:c r="K137" s="21"/>
      <x:c r="L137" s="20"/>
      <x:c r="M137" s="20"/>
      <x:c r="N137" s="18" t="str">
        <x:v>1 条建议</x:v>
      </x:c>
      <x:c r="O137" s="18" t="str">
        <x:v>11:50–13:53；41:32–41:40；13:53–14:10；41:40–42:22</x:v>
      </x:c>
    </x:row>
    <x:row r="138" ht="104" customHeight="1">
      <x:c r="A138" s="30" t="n">
        <x:v>46308</x:v>
      </x:c>
      <x:c r="B138" s="15" t="str">
        <x:v>yoyo真人小号</x:v>
      </x:c>
      <x:c r="C138" s="15" t="str">
        <x:v>发布</x:v>
      </x:c>
      <x:c r="D138" s="15" t="str">
        <x:v>Yoyo 首次看完整集的反应</x:v>
      </x:c>
      <x:c r="E138" s="15" t="str">
        <x:v>使用提前真实录制的首集 reaction，不剪入未播后续。</x:v>
      </x:c>
      <x:c r="F138" s="15" t="str">
        <x:v>按当天内容接方舟智创与 yoyo 虚拟人号；具体账号链接由运营补齐。</x:v>
      </x:c>
      <x:c r="G138" s="15" t="str">
        <x:v>使用过审素材，按已确认账号执行。 10/10 首播、10/15 第二集为工作目标，若改期，相关内容随之调整。</x:v>
      </x:c>
      <x:c r="H138" s="15" t="str">
        <x:v>C5</x:v>
      </x:c>
      <x:c r="I138" s="20" t="str">
        <x:v>待确认</x:v>
      </x:c>
      <x:c r="J138" s="20"/>
      <x:c r="K138" s="21"/>
      <x:c r="L138" s="20"/>
      <x:c r="M138" s="20"/>
      <x:c r="N138" s="15" t="str">
        <x:v>1 条建议</x:v>
      </x:c>
      <x:c r="O138" s="15" t="str">
        <x:v>08:35–09:10；37:50–38:12</x:v>
      </x:c>
    </x:row>
    <x:row r="139" ht="104" customHeight="1">
      <x:c r="A139" s="31" t="n">
        <x:v>46308</x:v>
      </x:c>
      <x:c r="B139" s="18" t="str">
        <x:v>郑允书</x:v>
      </x:c>
      <x:c r="C139" s="18" t="str">
        <x:v>发布</x:v>
      </x:c>
      <x:c r="D139" s="18" t="str">
        <x:v>郑允书已公开人物内容</x:v>
      </x:c>
      <x:c r="E139" s="18" t="str">
        <x:v>只在角色与已播内容确实相关时回应；否则发人物氛围。</x:v>
      </x:c>
      <x:c r="F139" s="18" t="str">
        <x:v>按当天内容接方舟智创与 yoyo 虚拟人号；具体账号链接由运营补齐。</x:v>
      </x:c>
      <x:c r="G139" s="18" t="str">
        <x:v>郑允书账号可用性、实际角色素材与本人/运营授权需核准。 10/10 首播、10/15 第二集为工作目标，若改期，相关内容随之调整。</x:v>
      </x:c>
      <x:c r="H139" s="18" t="str">
        <x:v>D1 / D4</x:v>
      </x:c>
      <x:c r="I139" s="20" t="str">
        <x:v>待确认</x:v>
      </x:c>
      <x:c r="J139" s="20"/>
      <x:c r="K139" s="21"/>
      <x:c r="L139" s="20"/>
      <x:c r="M139" s="20"/>
      <x:c r="N139" s="18" t="str">
        <x:v>1 条建议</x:v>
      </x:c>
      <x:c r="O139" s="18" t="str">
        <x:v>09:10–09:42；38:19–39:40；38:19–38:28（D 类共创）；本项未独立点选</x:v>
      </x:c>
    </x:row>
    <x:row r="140" ht="104" customHeight="1">
      <x:c r="A140" s="30" t="n">
        <x:v>46308</x:v>
      </x:c>
      <x:c r="B140" s="15" t="str">
        <x:v>yoyo虚拟人号</x:v>
      </x:c>
      <x:c r="C140" s="15" t="str">
        <x:v>发布</x:v>
      </x:c>
      <x:c r="D140" s="15" t="str">
        <x:v>一条穿搭 / 情绪日常</x:v>
      </x:c>
      <x:c r="E140" s="15" t="str">
        <x:v>持续经营虚拟 IP，不强行每天蹭剧情。</x:v>
      </x:c>
      <x:c r="F140" s="15" t="str">
        <x:v>相关人物号用自己的视角回应，指向同一厂牌/正片入口；不强制每号复制同片。</x:v>
      </x:c>
      <x:c r="G140" s="15" t="str">
        <x:v>使用过审素材，按已确认账号执行。 10/10 首播、10/15 第二集为工作目标，若改期，相关内容随之调整。</x:v>
      </x:c>
      <x:c r="H140" s="15" t="str">
        <x:v>B3 / B1</x:v>
      </x:c>
      <x:c r="I140" s="20" t="str">
        <x:v>待确认</x:v>
      </x:c>
      <x:c r="J140" s="20"/>
      <x:c r="K140" s="21"/>
      <x:c r="L140" s="20"/>
      <x:c r="M140" s="20"/>
      <x:c r="N140" s="15" t="str">
        <x:v>1 条建议</x:v>
      </x:c>
      <x:c r="O140" s="15" t="str">
        <x:v>06:57；34:50–36:24；16:25–17:28；06:20；34:58–36:24</x:v>
      </x:c>
    </x:row>
    <x:row r="141" ht="104" customHeight="1">
      <x:c r="A141" s="31" t="n">
        <x:v>46308</x:v>
      </x:c>
      <x:c r="B141" s="18" t="str">
        <x:v>切片号</x:v>
      </x:c>
      <x:c r="C141" s="18" t="str">
        <x:v>发布</x:v>
      </x:c>
      <x:c r="D141" s="18" t="str">
        <x:v>看片 reaction 切片</x:v>
      </x:c>
      <x:c r="E141" s="18" t="str">
        <x:v>取得对应真人原料，按切片手擅长的方式剪发。</x:v>
      </x:c>
      <x:c r="F141" s="18" t="str">
        <x:v>yoyo 真人直播/看片原料交切片团队；切片号带准确正片入口，发片后回传链接。</x:v>
      </x:c>
      <x:c r="G141" s="18" t="str">
        <x:v>拿到真实直播/看片原料和明确可发段落后再发，不用剧情二创包代替真人切片。 10/10 首播、10/15 第二集为工作目标，若改期，相关内容随之调整。</x:v>
      </x:c>
      <x:c r="H141" s="18" t="str">
        <x:v>C5 / K5</x:v>
      </x:c>
      <x:c r="I141" s="20" t="str">
        <x:v>待确认</x:v>
      </x:c>
      <x:c r="J141" s="20"/>
      <x:c r="K141" s="21"/>
      <x:c r="L141" s="20"/>
      <x:c r="M141" s="20"/>
      <x:c r="N141" s="18" t="str">
        <x:v>按签约账号及条数执行</x:v>
      </x:c>
      <x:c r="O141" s="18" t="str">
        <x:v>08:35–09:10；37:50–38:12；04:27–05:34；19:55–20:05；43:54；此前 U51</x:v>
      </x:c>
    </x:row>
    <x:row r="142" ht="104" customHeight="1">
      <x:c r="A142" s="30" t="n">
        <x:v>46309</x:v>
      </x:c>
      <x:c r="B142" s="15" t="str">
        <x:v>方舟智创</x:v>
      </x:c>
      <x:c r="C142" s="15" t="str">
        <x:v>发布</x:v>
      </x:c>
      <x:c r="D142" s="15" t="str">
        <x:v>第二集预告与更新提醒</x:v>
      </x:c>
      <x:c r="E142" s="15" t="str">
        <x:v>本版按 10/15 第二集筹备；确认可交付才说“明日更新”，否则改已播内容入口。</x:v>
      </x:c>
      <x:c r="F142" s="15" t="str">
        <x:v>方舟智创统一发布准确作品信息，其他已确认账号按当天各自内容接续。</x:v>
      </x:c>
      <x:c r="G142" s="15" t="str">
        <x:v>使用过审素材，按已确认账号执行。 10/10 首播、10/15 第二集为工作目标，若改期，相关内容随之调整。</x:v>
      </x:c>
      <x:c r="H142" s="15" t="str">
        <x:v>A4 / A5</x:v>
      </x:c>
      <x:c r="I142" s="20" t="str">
        <x:v>待确认</x:v>
      </x:c>
      <x:c r="J142" s="20"/>
      <x:c r="K142" s="21"/>
      <x:c r="L142" s="20"/>
      <x:c r="M142" s="20"/>
      <x:c r="N142" s="15" t="str">
        <x:v>1 条建议</x:v>
      </x:c>
      <x:c r="O142" s="15" t="str">
        <x:v>05:59；18:32；19:04；19:29–20:05；43:54；44:09–44:54</x:v>
      </x:c>
    </x:row>
    <x:row r="143" ht="104" customHeight="1">
      <x:c r="A143" s="31" t="n">
        <x:v>46309</x:v>
      </x:c>
      <x:c r="B143" s="18" t="str">
        <x:v>yoyo真人小号</x:v>
      </x:c>
      <x:c r="C143" s="18" t="str">
        <x:v>发布</x:v>
      </x:c>
      <x:c r="D143" s="18" t="str">
        <x:v>制片人的一天：看片与修改</x:v>
      </x:c>
      <x:c r="E143" s="18" t="str">
        <x:v>可公开过程先发，含第二集剧情的片段留到上线后。</x:v>
      </x:c>
      <x:c r="F143" s="18" t="str">
        <x:v>按当天内容接方舟智创与 yoyo 虚拟人号；具体账号链接由运营补齐。</x:v>
      </x:c>
      <x:c r="G143" s="18" t="str">
        <x:v>使用过审素材，按已确认账号执行。 10/10 首播、10/15 第二集为工作目标，若改期，相关内容随之调整。</x:v>
      </x:c>
      <x:c r="H143" s="18" t="str">
        <x:v>E4 / E5 / E6</x:v>
      </x:c>
      <x:c r="I143" s="20" t="str">
        <x:v>待确认</x:v>
      </x:c>
      <x:c r="J143" s="20"/>
      <x:c r="K143" s="21"/>
      <x:c r="L143" s="20"/>
      <x:c r="M143" s="20"/>
      <x:c r="N143" s="18" t="str">
        <x:v>1 条建议</x:v>
      </x:c>
      <x:c r="O143" s="18" t="str">
        <x:v>40:27–41:32</x:v>
      </x:c>
    </x:row>
    <x:row r="144" ht="104" customHeight="1">
      <x:c r="A144" s="30" t="n">
        <x:v>46309</x:v>
      </x:c>
      <x:c r="B144" s="15" t="str">
        <x:v>yoyo虚拟人号</x:v>
      </x:c>
      <x:c r="C144" s="15" t="str">
        <x:v>发布</x:v>
      </x:c>
      <x:c r="D144" s="15" t="str">
        <x:v>女主接第二集预告</x:v>
      </x:c>
      <x:c r="E144" s="15" t="str">
        <x:v>只用已审无剧透预告，不提前放第二集关键情节。</x:v>
      </x:c>
      <x:c r="F144" s="15" t="str">
        <x:v>相关人物号用自己的视角回应，指向同一厂牌/正片入口；不强制每号复制同片。</x:v>
      </x:c>
      <x:c r="G144" s="15" t="str">
        <x:v>使用过审素材，按已确认账号执行。 10/10 首播、10/15 第二集为工作目标，若改期，相关内容随之调整。</x:v>
      </x:c>
      <x:c r="H144" s="15" t="str">
        <x:v>A5</x:v>
      </x:c>
      <x:c r="I144" s="20" t="str">
        <x:v>待确认</x:v>
      </x:c>
      <x:c r="J144" s="20"/>
      <x:c r="K144" s="21"/>
      <x:c r="L144" s="20"/>
      <x:c r="M144" s="20"/>
      <x:c r="N144" s="15" t="str">
        <x:v>1 条建议</x:v>
      </x:c>
      <x:c r="O144" s="15" t="str">
        <x:v>19:29–20:05；43:54；44:09–44:54</x:v>
      </x:c>
    </x:row>
    <x:row r="145" ht="104" customHeight="1">
      <x:c r="A145" s="31" t="n">
        <x:v>46309</x:v>
      </x:c>
      <x:c r="B145" s="18" t="str">
        <x:v>营销号</x:v>
      </x:c>
      <x:c r="C145" s="18" t="str">
        <x:v>筹备</x:v>
      </x:c>
      <x:c r="D145" s="18" t="str">
        <x:v>交第二集预热包并锁播后批次</x:v>
      </x:c>
      <x:c r="E145" s="18" t="str">
        <x:v>未播预告与播后高光分开发放，明确每号可发时间。</x:v>
      </x:c>
      <x:c r="F145" s="18" t="str">
        <x:v>方舟智创提供已审简介、先导或已播高光；成熟 AI 剧账号独立重剪，按约定日期集中发布。</x:v>
      </x:c>
      <x:c r="G145" s="18" t="str">
        <x:v>逐号真实报价和合作条件落实；用已获准公开的素材，候选数与实际发片数分开。 10/10 首播、10/15 第二集为工作目标，若改期，相关内容随之调整。</x:v>
      </x:c>
      <x:c r="H145" s="18" t="str">
        <x:v>K5 / A5</x:v>
      </x:c>
      <x:c r="I145" s="20" t="str">
        <x:v>待确认</x:v>
      </x:c>
      <x:c r="J145" s="20"/>
      <x:c r="K145" s="21"/>
      <x:c r="L145" s="20"/>
      <x:c r="M145" s="20"/>
      <x:c r="N145" s="18" t="str">
        <x:v>当天执行</x:v>
      </x:c>
      <x:c r="O145" s="18" t="str">
        <x:v>04:27–05:34；19:55–20:05；43:54；此前 U51；19:29–20:05；43:54；44:09–44:54</x:v>
      </x:c>
    </x:row>
    <x:row r="146" ht="104" customHeight="1">
      <x:c r="A146" s="30" t="n">
        <x:v>46309</x:v>
      </x:c>
      <x:c r="B146" s="15" t="str">
        <x:v>切片号</x:v>
      </x:c>
      <x:c r="C146" s="15" t="str">
        <x:v>筹备</x:v>
      </x:c>
      <x:c r="D146" s="15" t="str">
        <x:v>整理下一批真人问题与原料</x:v>
      </x:c>
      <x:c r="E146" s="15" t="str">
        <x:v>只整理真实已有内容，有新录制再做下一批。</x:v>
      </x:c>
      <x:c r="F146" s="15" t="str">
        <x:v>yoyo 真人直播/看片原料交切片团队；切片号带准确正片入口，发片后回传链接。</x:v>
      </x:c>
      <x:c r="G146" s="15" t="str">
        <x:v>拿到真实直播/看片原料和明确可发段落后再发，不用剧情二创包代替真人切片。 10/10 首播、10/15 第二集为工作目标，若改期，相关内容随之调整。</x:v>
      </x:c>
      <x:c r="H146" s="15" t="str">
        <x:v>J6 / K5</x:v>
      </x:c>
      <x:c r="I146" s="20" t="str">
        <x:v>待确认</x:v>
      </x:c>
      <x:c r="J146" s="20"/>
      <x:c r="K146" s="21"/>
      <x:c r="L146" s="20"/>
      <x:c r="M146" s="20"/>
      <x:c r="N146" s="15" t="str">
        <x:v>当天执行</x:v>
      </x:c>
      <x:c r="O146" s="15" t="str">
        <x:v>15:20；42:35–42:51；04:27–05:34；19:55–20:05；43:54；此前 U51</x:v>
      </x:c>
    </x:row>
    <x:row r="147" ht="104" customHeight="1">
      <x:c r="A147" s="31" t="n">
        <x:v>46310</x:v>
      </x:c>
      <x:c r="B147" s="18" t="str">
        <x:v>方舟智创</x:v>
      </x:c>
      <x:c r="C147" s="18" t="str">
        <x:v>发布</x:v>
      </x:c>
      <x:c r="D147" s="18" t="str">
        <x:v>第二集正片与追剧入口</x:v>
      </x:c>
      <x:c r="E147" s="18" t="str">
        <x:v>这是本版第二集筹备目标；库存和审核满足后上线，否则统一顺延并更新各号通知。</x:v>
      </x:c>
      <x:c r="F147" s="18" t="str">
        <x:v>方舟智创统一发布准确作品信息，其他已确认账号按当天各自内容接续。</x:v>
      </x:c>
      <x:c r="G147" s="18" t="str">
        <x:v>使用过审素材，按已确认账号执行。 10/10 首播、10/15 第二集为工作目标，若改期，相关内容随之调整。</x:v>
      </x:c>
      <x:c r="H147" s="18" t="str">
        <x:v>A5</x:v>
      </x:c>
      <x:c r="I147" s="20" t="str">
        <x:v>待确认</x:v>
      </x:c>
      <x:c r="J147" s="20"/>
      <x:c r="K147" s="21"/>
      <x:c r="L147" s="20"/>
      <x:c r="M147" s="20"/>
      <x:c r="N147" s="18" t="str">
        <x:v>1 条建议</x:v>
      </x:c>
      <x:c r="O147" s="18" t="str">
        <x:v>19:29–20:05；43:54；44:09–44:54</x:v>
      </x:c>
    </x:row>
    <x:row r="148" ht="104" customHeight="1">
      <x:c r="A148" s="30" t="n">
        <x:v>46310</x:v>
      </x:c>
      <x:c r="B148" s="15" t="str">
        <x:v>yoyo矩阵号</x:v>
      </x:c>
      <x:c r="C148" s="15" t="str">
        <x:v>发布</x:v>
      </x:c>
      <x:c r="D148" s="15" t="str">
        <x:v>适配矩阵号接第二集</x:v>
      </x:c>
      <x:c r="E148" s="15" t="str">
        <x:v>延续首播后确认有效的参与号和内容形式。</x:v>
      </x:c>
      <x:c r="F148" s="15" t="str">
        <x:v>按当天内容接方舟智创与 yoyo 虚拟人号；具体账号链接由运营补齐。</x:v>
      </x:c>
      <x:c r="G148" s="15" t="str">
        <x:v>仅限筛选后已确认参与的矩阵号；非全矩阵统一发。 10/10 首播、10/15 第二集为工作目标，若改期，相关内容随之调整。</x:v>
      </x:c>
      <x:c r="H148" s="15" t="str">
        <x:v>A5</x:v>
      </x:c>
      <x:c r="I148" s="20" t="str">
        <x:v>待确认</x:v>
      </x:c>
      <x:c r="J148" s="20"/>
      <x:c r="K148" s="21"/>
      <x:c r="L148" s="20"/>
      <x:c r="M148" s="20"/>
      <x:c r="N148" s="15" t="str">
        <x:v>1 条建议</x:v>
      </x:c>
      <x:c r="O148" s="15" t="str">
        <x:v>19:29–20:05；43:54；44:09–44:54</x:v>
      </x:c>
    </x:row>
    <x:row r="149" ht="104" customHeight="1">
      <x:c r="A149" s="31" t="n">
        <x:v>46310</x:v>
      </x:c>
      <x:c r="B149" s="18" t="str">
        <x:v>陆文川账号（未申请）</x:v>
      </x:c>
      <x:c r="C149" s="18" t="str">
        <x:v>发布</x:v>
      </x:c>
      <x:c r="D149" s="18" t="str">
        <x:v>陆文川当集高光 / 互动</x:v>
      </x:c>
      <x:c r="E149" s="18" t="str">
        <x:v>只使用第二集已经公开的相关素材。</x:v>
      </x:c>
      <x:c r="F149" s="18" t="str">
        <x:v>相关人物号用自己的视角回应，指向同一厂牌/正片入口；不强制每号复制同片。</x:v>
      </x:c>
      <x:c r="G149" s="18" t="str">
        <x:v>陆文川账号当前未申请；该日之前开通交接成功才发布，否则由厂牌接内容。 10/10 首播、10/15 第二集为工作目标，若改期，相关内容随之调整。</x:v>
      </x:c>
      <x:c r="H149" s="18" t="str">
        <x:v>D1 / D2</x:v>
      </x:c>
      <x:c r="I149" s="20" t="str">
        <x:v>待确认</x:v>
      </x:c>
      <x:c r="J149" s="20"/>
      <x:c r="K149" s="21"/>
      <x:c r="L149" s="20"/>
      <x:c r="M149" s="20"/>
      <x:c r="N149" s="18" t="str">
        <x:v>1 条建议</x:v>
      </x:c>
      <x:c r="O149" s="18" t="str">
        <x:v>09:10–09:42；38:19–39:40；09:27–09:42；19:04；38:19–38:28</x:v>
      </x:c>
    </x:row>
    <x:row r="150" ht="104" customHeight="1">
      <x:c r="A150" s="30" t="n">
        <x:v>46310</x:v>
      </x:c>
      <x:c r="B150" s="15" t="str">
        <x:v>郑允书</x:v>
      </x:c>
      <x:c r="C150" s="15" t="str">
        <x:v>发布</x:v>
      </x:c>
      <x:c r="D150" s="15" t="str">
        <x:v>郑允书当集相关内容</x:v>
      </x:c>
      <x:c r="E150" s="15" t="str">
        <x:v>有相关镜头再发当集内容；没有则不为凑数套片段。</x:v>
      </x:c>
      <x:c r="F150" s="15" t="str">
        <x:v>按当天内容接方舟智创与 yoyo 虚拟人号；具体账号链接由运营补齐。</x:v>
      </x:c>
      <x:c r="G150" s="15" t="str">
        <x:v>郑允书账号可用性、实际角色素材与本人/运营授权需核准。 10/10 首播、10/15 第二集为工作目标，若改期，相关内容随之调整。</x:v>
      </x:c>
      <x:c r="H150" s="15" t="str">
        <x:v>D1</x:v>
      </x:c>
      <x:c r="I150" s="20" t="str">
        <x:v>待确认</x:v>
      </x:c>
      <x:c r="J150" s="20"/>
      <x:c r="K150" s="21"/>
      <x:c r="L150" s="20"/>
      <x:c r="M150" s="20"/>
      <x:c r="N150" s="15" t="str">
        <x:v>1 条建议</x:v>
      </x:c>
      <x:c r="O150" s="15" t="str">
        <x:v>09:10–09:42；38:19–39:40</x:v>
      </x:c>
    </x:row>
    <x:row r="151" ht="104" customHeight="1">
      <x:c r="A151" s="31" t="n">
        <x:v>46310</x:v>
      </x:c>
      <x:c r="B151" s="18" t="str">
        <x:v>yoyo虚拟人号</x:v>
      </x:c>
      <x:c r="C151" s="18" t="str">
        <x:v>发布</x:v>
      </x:c>
      <x:c r="D151" s="18" t="str">
        <x:v>第二集上线后的女主高光</x:v>
      </x:c>
      <x:c r="E151" s="18" t="str">
        <x:v>正片上线后再发当集片段，并接完整观看入口。</x:v>
      </x:c>
      <x:c r="F151" s="18" t="str">
        <x:v>相关人物号用自己的视角回应，指向同一厂牌/正片入口；不强制每号复制同片。</x:v>
      </x:c>
      <x:c r="G151" s="18" t="str">
        <x:v>使用过审素材，按已确认账号执行。 10/10 首播、10/15 第二集为工作目标，若改期，相关内容随之调整。</x:v>
      </x:c>
      <x:c r="H151" s="18" t="str">
        <x:v>A5 / D1</x:v>
      </x:c>
      <x:c r="I151" s="20" t="str">
        <x:v>待确认</x:v>
      </x:c>
      <x:c r="J151" s="20"/>
      <x:c r="K151" s="21"/>
      <x:c r="L151" s="20"/>
      <x:c r="M151" s="20"/>
      <x:c r="N151" s="18" t="str">
        <x:v>1 条建议</x:v>
      </x:c>
      <x:c r="O151" s="18" t="str">
        <x:v>19:29–20:05；43:54；44:09–44:54；09:10–09:42；38:19–39:40</x:v>
      </x:c>
    </x:row>
    <x:row r="152" ht="104" customHeight="1">
      <x:c r="A152" s="30" t="n">
        <x:v>46310</x:v>
      </x:c>
      <x:c r="B152" s="15" t="str">
        <x:v>营销号</x:v>
      </x:c>
      <x:c r="C152" s="15" t="str">
        <x:v>发布</x:v>
      </x:c>
      <x:c r="D152" s="15" t="str">
        <x:v>第二集高光二创集中发布</x:v>
      </x:c>
      <x:c r="E152" s="15" t="str">
        <x:v>合作号按各自剪法用新一集授权素材；保留真实回链与交付记录。</x:v>
      </x:c>
      <x:c r="F152" s="15" t="str">
        <x:v>方舟智创提供已审简介、先导或已播高光；成熟 AI 剧账号独立重剪，按约定日期集中发布。</x:v>
      </x:c>
      <x:c r="G152" s="15" t="str">
        <x:v>逐号真实报价和合作条件落实；用已获准公开的素材，候选数与实际发片数分开。 10/10 首播、10/15 第二集为工作目标，若改期，相关内容随之调整。</x:v>
      </x:c>
      <x:c r="H152" s="15" t="str">
        <x:v>A5 / K5</x:v>
      </x:c>
      <x:c r="I152" s="20" t="str">
        <x:v>待确认</x:v>
      </x:c>
      <x:c r="J152" s="20"/>
      <x:c r="K152" s="21"/>
      <x:c r="L152" s="20"/>
      <x:c r="M152" s="20"/>
      <x:c r="N152" s="15" t="str">
        <x:v>按签约账号及条数执行</x:v>
      </x:c>
      <x:c r="O152" s="15" t="str">
        <x:v>19:29–20:05；43:54；44:09–44:54；04:27–05:34；19:55–20:05；43:54；此前 U51</x:v>
      </x:c>
    </x:row>
    <x:row r="153" ht="104" customHeight="1">
      <x:c r="A153" s="31" t="n">
        <x:v>46310</x:v>
      </x:c>
      <x:c r="B153" s="18" t="str">
        <x:v>切片号</x:v>
      </x:c>
      <x:c r="C153" s="18" t="str">
        <x:v>发布</x:v>
      </x:c>
      <x:c r="D153" s="18" t="str">
        <x:v>新一轮真人讲剧 / 问答切片</x:v>
      </x:c>
      <x:c r="E153" s="18" t="str">
        <x:v>只在有新的真实原料时发；否则保持已有内容运营。</x:v>
      </x:c>
      <x:c r="F153" s="18" t="str">
        <x:v>yoyo 真人直播/看片原料交切片团队；切片号带准确正片入口，发片后回传链接。</x:v>
      </x:c>
      <x:c r="G153" s="18" t="str">
        <x:v>拿到真实直播/看片原料和明确可发段落后再发，不用剧情二创包代替真人切片。 10/10 首播、10/15 第二集为工作目标，若改期，相关内容随之调整。</x:v>
      </x:c>
      <x:c r="H153" s="18" t="str">
        <x:v>J6 / K5</x:v>
      </x:c>
      <x:c r="I153" s="20" t="str">
        <x:v>待确认</x:v>
      </x:c>
      <x:c r="J153" s="20"/>
      <x:c r="K153" s="21"/>
      <x:c r="L153" s="20"/>
      <x:c r="M153" s="20"/>
      <x:c r="N153" s="18" t="str">
        <x:v>按签约账号及条数执行</x:v>
      </x:c>
      <x:c r="O153" s="18" t="str">
        <x:v>15:20；42:35–42:51；04:27–05:34；19:55–20:05；43:54；此前 U51</x:v>
      </x:c>
    </x:row>
  </x:sheetData>
  <x:conditionalFormatting sqref="I8:I153">
    <x:cfRule type="containsText" dxfId="0" priority="1" operator="containsText" text="已完成"/>
  </x:conditionalFormatting>
  <x:dataValidations count="1">
    <x:dataValidation type="list" sqref="I8:I153">
      <x:formula1>"待确认,制作中,待审核,可发布,已发布,已完成,顺延,取消"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a1e34f82e644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68" hidden="0" customWidth="1"/>
    <x:col min="4" max="4" width="34" hidden="0" customWidth="1"/>
    <x:col min="5" max="5" width="24" hidden="0" customWidth="1"/>
    <x:col min="6" max="6" width="22" hidden="0" customWidth="1"/>
    <x:col min="7" max="7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10 类账号 · 谁负责、发什么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陆文川账号仍未申请；大号择优、矩阵号先筛选。营销号建池 500 个为工作目标，不是已合作数。</x:v>
      </x:c>
      <x:c r="B4" s="2"/>
      <x:c r="C4" s="2"/>
      <x:c r="D4" s="2"/>
      <x:c r="E4" s="2"/>
      <x:c r="F4" s="2"/>
      <x:c r="G4" s="2"/>
    </x:row>
    <x:row r="5" ht="25" customHeight="1">
      <x:c r="A5" s="2" t="str">
        <x:v>黄色区域留给账号链接、负责人和交接状态；任务数包括筹备，不等于发片数量。</x:v>
      </x:c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32" customHeight="1">
      <x:c r="A7" s="9" t="str">
        <x:v>账号</x:v>
      </x:c>
      <x:c r="B7" s="9" t="str">
        <x:v>职责</x:v>
      </x:c>
      <x:c r="C7" s="9" t="str">
        <x:v>发什么 / 如何启用</x:v>
      </x:c>
      <x:c r="D7" s="9" t="str">
        <x:v>账号链接 / ID</x:v>
      </x:c>
      <x:c r="E7" s="9" t="str">
        <x:v>运营负责人</x:v>
      </x:c>
      <x:c r="F7" s="9" t="str">
        <x:v>交接状态</x:v>
      </x:c>
      <x:c r="G7" s="9" t="str">
        <x:v>日程任务数</x:v>
      </x:c>
    </x:row>
    <x:row r="8" ht="110" customHeight="1">
      <x:c r="A8" s="15" t="str">
        <x:v>方舟AI</x:v>
      </x:c>
      <x:c r="B8" s="15" t="str">
        <x:v>制作过程与专业能力</x:v>
      </x:c>
      <x:c r="C8" s="15" t="str">
        <x:v>制作幕后、场景资产、声音和剪辑前后对照。与方舟智创分开发片角度。</x:v>
      </x:c>
      <x:c r="D8" s="20"/>
      <x:c r="E8" s="20"/>
      <x:c r="F8" s="20" t="str">
        <x:v>待核对</x:v>
      </x:c>
      <x:c r="G8" s="15" t="n">
        <x:f>COUNTIFS('发布排期'!$B$8:$B$153,A8,'发布排期'!$I$8:$I$153,"&lt;&gt;取消")</x:f>
        <x:v>11</x:v>
      </x:c>
    </x:row>
    <x:row r="9" ht="110" customHeight="1">
      <x:c r="A9" s="18" t="str">
        <x:v>方舟智创</x:v>
      </x:c>
      <x:c r="B9" s="18" t="str">
        <x:v>厂牌与作品发布</x:v>
      </x:c>
      <x:c r="C9" s="18" t="str">
        <x:v>项目首宣、教堂先导、主预告、追剧信息与正片入口。正片实际承接号先核准。</x:v>
      </x:c>
      <x:c r="D9" s="20"/>
      <x:c r="E9" s="20"/>
      <x:c r="F9" s="20" t="str">
        <x:v>待核对</x:v>
      </x:c>
      <x:c r="G9" s="18" t="n">
        <x:f>COUNTIFS('发布排期'!$B$8:$B$153,A9,'发布排期'!$I$8:$I$153,"&lt;&gt;取消")</x:f>
        <x:v>15</x:v>
      </x:c>
    </x:row>
    <x:row r="10" ht="110" customHeight="1">
      <x:c r="A10" s="15" t="str">
        <x:v>yoyo矩阵号</x:v>
      </x:c>
      <x:c r="B10" s="15" t="str">
        <x:v>筛选后参与</x:v>
      </x:c>
      <x:c r="C10" s="15" t="str">
        <x:v>先核对矩阵内各号受众和内容；选适配号发，不要求所有带货号统一发剧宣。</x:v>
      </x:c>
      <x:c r="D10" s="20"/>
      <x:c r="E10" s="20"/>
      <x:c r="F10" s="20" t="str">
        <x:v>待核对</x:v>
      </x:c>
      <x:c r="G10" s="15" t="n">
        <x:f>COUNTIFS('发布排期'!$B$8:$B$153,A10,'发布排期'!$I$8:$I$153,"&lt;&gt;取消")</x:f>
        <x:v>11</x:v>
      </x:c>
    </x:row>
    <x:row r="11" ht="110" customHeight="1">
      <x:c r="A11" s="18" t="str">
        <x:v>yoyo真人小号</x:v>
      </x:c>
      <x:c r="B11" s="18" t="str">
        <x:v>真人参与与制片工作</x:v>
      </x:c>
      <x:c r="C11" s="18" t="str">
        <x:v>分身介绍、转场、选装/看片、reaction、直播与问答。</x:v>
      </x:c>
      <x:c r="D11" s="20"/>
      <x:c r="E11" s="20"/>
      <x:c r="F11" s="20" t="str">
        <x:v>待核对</x:v>
      </x:c>
      <x:c r="G11" s="18" t="n">
        <x:f>COUNTIFS('发布排期'!$B$8:$B$153,A11,'发布排期'!$I$8:$I$153,"&lt;&gt;取消")</x:f>
        <x:v>15</x:v>
      </x:c>
    </x:row>
    <x:row r="12" ht="110" customHeight="1">
      <x:c r="A12" s="15" t="str">
        <x:v>yoyo大号</x:v>
      </x:c>
      <x:c r="B12" s="15" t="str">
        <x:v>少而精的重要节点</x:v>
      </x:c>
      <x:c r="C12" s="15" t="str">
        <x:v>真人介绍参演与主预告择优支持；成片给 Yoyo 选择，不作每日更新阵地。</x:v>
      </x:c>
      <x:c r="D12" s="20"/>
      <x:c r="E12" s="20"/>
      <x:c r="F12" s="20" t="str">
        <x:v>待核对</x:v>
      </x:c>
      <x:c r="G12" s="15" t="n">
        <x:f>COUNTIFS('发布排期'!$B$8:$B$153,A12,'发布排期'!$I$8:$I$153,"&lt;&gt;取消")</x:f>
        <x:v>5</x:v>
      </x:c>
    </x:row>
    <x:row r="13" ht="110" customHeight="1">
      <x:c r="A13" s="18" t="str">
        <x:v>陆文川账号（未申请）</x:v>
      </x:c>
      <x:c r="B13" s="18" t="str">
        <x:v>先申请，再营业</x:v>
      </x:c>
      <x:c r="C13" s="18" t="str">
        <x:v>先注册、交接与准备人物内容。计划发布日前仍未就绪，则取消此号发布，由方舟智创接内容。</x:v>
      </x:c>
      <x:c r="D13" s="20"/>
      <x:c r="E13" s="20"/>
      <x:c r="F13" s="20" t="str">
        <x:v>待申请</x:v>
      </x:c>
      <x:c r="G13" s="18" t="n">
        <x:f>COUNTIFS('发布排期'!$B$8:$B$153,A13,'发布排期'!$I$8:$I$153,"&lt;&gt;取消")</x:f>
        <x:v>14</x:v>
      </x:c>
    </x:row>
    <x:row r="14" ht="110" customHeight="1">
      <x:c r="A14" s="15" t="str">
        <x:v>郑允书</x:v>
      </x:c>
      <x:c r="B14" s="15" t="str">
        <x:v>角色相关内容</x:v>
      </x:c>
      <x:c r="C14" s="15" t="str">
        <x:v>按用户指定名称单列：人物亮相、先导接力、已播角色内容。账号状态及人物素材需核准。</x:v>
      </x:c>
      <x:c r="D14" s="20"/>
      <x:c r="E14" s="20"/>
      <x:c r="F14" s="20" t="str">
        <x:v>待核对</x:v>
      </x:c>
      <x:c r="G14" s="15" t="n">
        <x:f>COUNTIFS('发布排期'!$B$8:$B$153,A14,'发布排期'!$I$8:$I$153,"&lt;&gt;取消")</x:f>
        <x:v>10</x:v>
      </x:c>
    </x:row>
    <x:row r="15" ht="110" customHeight="1">
      <x:c r="A15" s="18" t="str">
        <x:v>yoyo虚拟人号</x:v>
      </x:c>
      <x:c r="B15" s="18" t="str">
        <x:v>日常持续更新与女主营业</x:v>
      </x:c>
      <x:c r="C15" s="18" t="str">
        <x:v>9/18 开始日常、穿搭与空间氛围，随后接作品首宣、先导、CP 与已播互动。</x:v>
      </x:c>
      <x:c r="D15" s="20"/>
      <x:c r="E15" s="20"/>
      <x:c r="F15" s="20" t="str">
        <x:v>待核对</x:v>
      </x:c>
      <x:c r="G15" s="18" t="n">
        <x:f>COUNTIFS('发布排期'!$B$8:$B$153,A15,'发布排期'!$I$8:$I$153,"&lt;&gt;取消")</x:f>
        <x:v>26</x:v>
      </x:c>
    </x:row>
    <x:row r="16" ht="110" customHeight="1">
      <x:c r="A16" s="15" t="str">
        <x:v>营销号</x:v>
      </x:c>
      <x:c r="B16" s="15" t="str">
        <x:v>成熟 AI 剧切片 / 二创合作</x:v>
      </x:c>
      <x:c r="C16" s="15" t="str">
        <x:v>从用户观察到的《被裁掉的女孩》自发切片、二创账号建池，目标覆盖 500 个候选，以最低可执行价格 BD，按能力供料并集中发布。</x:v>
      </x:c>
      <x:c r="D16" s="20"/>
      <x:c r="E16" s="20"/>
      <x:c r="F16" s="20" t="str">
        <x:v>待核对</x:v>
      </x:c>
      <x:c r="G16" s="15" t="n">
        <x:f>COUNTIFS('发布排期'!$B$8:$B$153,A16,'发布排期'!$I$8:$I$153,"&lt;&gt;取消")</x:f>
        <x:v>26</x:v>
      </x:c>
    </x:row>
    <x:row r="17" ht="110" customHeight="1">
      <x:c r="A17" s="18" t="str">
        <x:v>切片号</x:v>
      </x:c>
      <x:c r="B17" s="18" t="str">
        <x:v>真人直播切片合作</x:v>
      </x:c>
      <x:c r="C17" s="18" t="str">
        <x:v>接 Yoyo 真人讲剧、直播、看片反应的原料与时间点，沿用切片手熟悉的剪法；与 AI 剧营销号分开管理。</x:v>
      </x:c>
      <x:c r="D17" s="20"/>
      <x:c r="E17" s="20"/>
      <x:c r="F17" s="20" t="str">
        <x:v>待核对</x:v>
      </x:c>
      <x:c r="G17" s="18" t="n">
        <x:f>COUNTIFS('发布排期'!$B$8:$B$153,A17,'发布排期'!$I$8:$I$153,"&lt;&gt;取消")</x:f>
        <x:v>13</x:v>
      </x:c>
    </x:row>
  </x:sheetData>
  <x:dataValidations count="1">
    <x:dataValidation type="list" sqref="F8:F17">
      <x:formula1>"待核对,待申请,待交接,可发布,暂不启用"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6d179decb8436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62" hidden="0" customWidth="1"/>
    <x:col min="5" max="5" width="60" hidden="0" customWidth="1"/>
    <x:col min="6" max="6" width="56" hidden="0" customWidth="1"/>
    <x:col min="7" max="7" width="62" hidden="0" customWidth="1"/>
    <x:col min="8" max="8" width="35" hidden="0" customWidth="1"/>
    <x:col min="9" max="9" width="6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物料编号 · 会议依据与本轮落日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保留会议逐项匹配的全部 55 个方向；G 类暂缓，条件候选未默认批准。本轮未排的方向仍保留。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 t="str">
        <x:v>具体日期由会议内容和最新账号清单推导；下方会议定位用于追溯内容，不表示会议逐日批准。</x:v>
      </x:c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9" t="str">
        <x:v>编号</x:v>
      </x:c>
      <x:c r="B7" s="9" t="str">
        <x:v>物料方向</x:v>
      </x:c>
      <x:c r="C7" s="9" t="str">
        <x:v>会议状态</x:v>
      </x:c>
      <x:c r="D7" s="9" t="str">
        <x:v>具体内容</x:v>
      </x:c>
      <x:c r="E7" s="9" t="str">
        <x:v>采集准备</x:v>
      </x:c>
      <x:c r="F7" s="9" t="str">
        <x:v>适配阶段</x:v>
      </x:c>
      <x:c r="G7" s="9" t="str">
        <x:v>未定条件</x:v>
      </x:c>
      <x:c r="H7" s="9" t="str">
        <x:v>会议定位</x:v>
      </x:c>
      <x:c r="I7" s="9" t="str">
        <x:v>本轮日期 / 账号</x:v>
      </x:c>
    </x:row>
    <x:row r="8" ht="116" customHeight="1">
      <x:c r="A8" s="15" t="str">
        <x:v>A1</x:v>
      </x:c>
      <x:c r="B8" s="15" t="str">
        <x:v>项目首宣与主视觉</x:v>
      </x:c>
      <x:c r="C8" s="15" t="str">
        <x:v>重点明确，账号组合建议</x:v>
      </x:c>
      <x:c r="D8" s="15" t="str">
        <x:v>官宣图文/海报或首宣短片：剧名、主创、主视觉、观看入口；以少量主阵地集中发布。</x:v>
      </x:c>
      <x:c r="E8" s="15" t="str">
        <x:v>现在准备官宣图文与版本；收到获选资产后完成。</x:v>
      </x:c>
      <x:c r="F8" s="15" t="str">
        <x:v>官宣节点至 T−7 集中预热，T 日可接续</x:v>
      </x:c>
      <x:c r="G8" s="15" t="str">
        <x:v>真人大小号看质量由本人决定；不为铺号大量复制无剧情首宣。</x:v>
      </x:c>
      <x:c r="H8" s="15" t="str">
        <x:v>00:21–00:38；28:55–30:32；32:35–34:43</x:v>
      </x:c>
      <x:c r="I8" s="15" t="str">
        <x:v>方舟智创：9/18、9/21、9/25、9/28、9/30、10/3
yoyo矩阵号：10/3
yoyo虚拟人号：10/3</x:v>
      </x:c>
    </x:row>
    <x:row r="9" ht="148" customHeight="1">
      <x:c r="A9" s="18" t="str">
        <x:v>A2</x:v>
      </x:c>
      <x:c r="B9" s="18" t="str">
        <x:v>主预告与不同入口短版</x:v>
      </x:c>
      <x:c r="C9" s="18" t="str">
        <x:v>会议建议</x:v>
      </x:c>
      <x:c r="D9" s="18" t="str">
        <x:v>8–10 秒短预告、20–30 秒主预告；前面数版短预告，最后主预告。</x:v>
      </x:c>
      <x:c r="E9" s="18" t="str">
        <x:v>按已审镜头剪节奏/人物/视觉版本，专业剪辑承接。</x:v>
      </x:c>
      <x:c r="F9" s="18" t="str">
        <x:v>T−7 至 T−1 密集预热，主预告可在 T 日接续</x:v>
      </x:c>
      <x:c r="G9" s="18" t="str">
        <x:v>3–4 版是讨论示例，非已定任务数；真人大号看样片。</x:v>
      </x:c>
      <x:c r="H9" s="18" t="str">
        <x:v>00:38；31:29–31:46；18:10–19:04</x:v>
      </x:c>
      <x:c r="I9" s="18" t="str">
        <x:v>方舟智创：9/18、9/21、9/25、9/28、9/30、10/6、10/8
yoyo矩阵号：10/6
yoyo大号：9/18、9/29、10/6、10/8、10/10
郑允书：10/8
yoyo虚拟人号：10/8
营销号：10/6、10/8</x:v>
      </x:c>
    </x:row>
    <x:row r="10" ht="116" customHeight="1">
      <x:c r="A10" s="15" t="str">
        <x:v>A3</x:v>
      </x:c>
      <x:c r="B10" s="15" t="str">
        <x:v>教堂戏中戏先导</x:v>
      </x:c>
      <x:c r="C10" s="15" t="str">
        <x:v>会议重点；扩散范围有条件</x:v>
      </x:c>
      <x:c r="D10" s="15" t="str">
        <x:v>教堂戏中戏先导，以悬疑/视觉/转场激起好奇；与东方庭院视觉一起考虑。</x:v>
      </x:c>
      <x:c r="E10" s="15" t="str">
        <x:v>用首集定稿与获选服装场景制作；需要时补独立氛围镜头。</x:v>
      </x:c>
      <x:c r="F10" s="15" t="str">
        <x:v>播前集中预热；具体首次释放日待定</x:v>
      </x:c>
      <x:c r="G10" s="15" t="str">
        <x:v>“所有号”与此前“所有虚拟 IP 号、真人小号质量过关才发”合并理解为广泛候选；非全部账号无条件发布，带货矩阵仍待议。</x:v>
      </x:c>
      <x:c r="H10" s="15" t="str">
        <x:v>00:59；27:48–28:53；34:11</x:v>
      </x:c>
      <x:c r="I10" s="15" t="str">
        <x:v>方舟智创：9/18、9/21、9/25、9/28、9/30、10/4
陆文川账号（未申请）：10/4
郑允书：10/4
yoyo虚拟人号：10/4
营销号：10/4</x:v>
      </x:c>
    </x:row>
    <x:row r="11" ht="116" customHeight="1">
      <x:c r="A11" s="18" t="str">
        <x:v>A4</x:v>
      </x:c>
      <x:c r="B11" s="18" t="str">
        <x:v>定档、倒计时与追剧日历</x:v>
      </x:c>
      <x:c r="C11" s="18" t="str">
        <x:v>会议建议</x:v>
      </x:c>
      <x:c r="D11" s="18" t="str">
        <x:v>追剧日历、倒计时、上线信息和清楚的观看入口。</x:v>
      </x:c>
      <x:c r="E11" s="18" t="str">
        <x:v>T 与更新频率确认后填入日期；现在只准备模板。</x:v>
      </x:c>
      <x:c r="F11" s="18" t="str">
        <x:v>T−7 至 T 日；播出后随排期变化更新</x:v>
      </x:c>
      <x:c r="G11" s="18" t="str">
        <x:v>账号匹配为执行推导；10 月 10 日是假设，不能写入正式日历。</x:v>
      </x:c>
      <x:c r="H11" s="18" t="str">
        <x:v>05:59；18:32；19:04</x:v>
      </x:c>
      <x:c r="I11" s="18" t="str">
        <x:v>方舟智创：9/18、9/21、9/25、9/28、9/30、10/3、10/9、10/14
yoyo矩阵号：10/9
陆文川账号（未申请）：10/9
郑允书：10/10
yoyo虚拟人号：10/9</x:v>
      </x:c>
    </x:row>
    <x:row r="12" ht="116" customHeight="1">
      <x:c r="A12" s="15" t="str">
        <x:v>A5</x:v>
      </x:c>
      <x:c r="B12" s="15" t="str">
        <x:v>每集预告、片段与上线交接</x:v>
      </x:c>
      <x:c r="C12" s="15" t="str">
        <x:v>会议建议</x:v>
      </x:c>
      <x:c r="D12" s="15" t="str">
        <x:v>当集上线、高光片段、下一集钩子；第一集播完接第二集预告。</x:v>
      </x:c>
      <x:c r="E12" s="15" t="str">
        <x:v>逐集用已审素材准备高光和下一集可公开钩子。</x:v>
      </x:c>
      <x:c r="F12" s="15" t="str">
        <x:v>每集上线日及之后</x:v>
      </x:c>
      <x:c r="G12" s="15" t="str">
        <x:v>正片首发号待核对；下一集钩子须单独批准播前公开。</x:v>
      </x:c>
      <x:c r="H12" s="15" t="str">
        <x:v>19:29–20:05；43:54；44:09–44:54</x:v>
      </x:c>
      <x:c r="I12" s="15" t="str">
        <x:v>方舟智创：9/18、9/21、9/25、9/28、9/30、10/10、10/11、10/14、10/15
yoyo矩阵号：10/10、10/15
陆文川账号（未申请）：10/10
yoyo虚拟人号：10/10、10/14、10/15
营销号：10/10、10/11、10/14、10/15</x:v>
      </x:c>
    </x:row>
    <x:row r="13" ht="116" customHeight="1">
      <x:c r="A13" s="18" t="str">
        <x:v>A6</x:v>
      </x:c>
      <x:c r="B13" s="18" t="str">
        <x:v>新观众入门与阶段回顾</x:v>
      </x:c>
      <x:c r="C13" s="18" t="str">
        <x:v>会议建议</x:v>
      </x:c>
      <x:c r="D13" s="18" t="str">
        <x:v>新观众入门、前情解说；第三四集刷到也能理解人物与前因。</x:v>
      </x:c>
      <x:c r="E13" s="18" t="str">
        <x:v>以已播内容剪回顾/解说，补齐入门与观看路径。</x:v>
      </x:c>
      <x:c r="F13" s="18" t="str">
        <x:v>第 2 集起按新观众需要穿插；收官后可汇总</x:v>
      </x:c>
      <x:c r="G13" s="18" t="str">
        <x:v>第 2 集起为助手推导，会议举第三四集；不把解说账号默认等于直播切片手。</x:v>
      </x:c>
      <x:c r="H13" s="18" t="str">
        <x:v>05:59；19:29–20:05；21:55–22:18</x:v>
      </x:c>
      <x:c r="I13" s="18" t="str">
        <x:v>方舟智创：10/12
营销号：10/12</x:v>
      </x:c>
    </x:row>
    <x:row r="14" ht="116" customHeight="1">
      <x:c r="A14" s="15" t="str">
        <x:v>B1</x:v>
      </x:c>
      <x:c r="B14" s="15" t="str">
        <x:v>生活片刻与日常氛围</x:v>
      </x:c>
      <x:c r="C14" s="15" t="str">
        <x:v>会议明确</x:v>
      </x:c>
      <x:c r="D14" s="15" t="str">
        <x:v>生活片刻、氛围感、一天 vlog；按持续经营的虚拟艺人来做。</x:v>
      </x:c>
      <x:c r="E14" s="15" t="str">
        <x:v>先做好 9 月 18 日首批与接续内容。</x:v>
      </x:c>
      <x:c r="F14" s="15" t="str">
        <x:v>9 月 18 日起持续更新，与播出并行</x:v>
      </x:c>
      <x:c r="G14" s="15" t="str">
        <x:v>每周频率与条数未定；不强制每条剧情关联。</x:v>
      </x:c>
      <x:c r="H14" s="15" t="str">
        <x:v>06:20；34:58–36:24</x:v>
      </x:c>
      <x:c r="I14" s="15" t="str">
        <x:v>yoyo虚拟人号：9/18、9/20、9/23、9/26、9/28、10/5、10/11、10/13</x:v>
      </x:c>
    </x:row>
    <x:row r="15" ht="116" customHeight="1">
      <x:c r="A15" s="18" t="str">
        <x:v>B2</x:v>
      </x:c>
      <x:c r="B15" s="18" t="str">
        <x:v>空间游历与城市片刻</x:v>
      </x:c>
      <x:c r="C15" s="18" t="str">
        <x:v>会议明确方向</x:v>
      </x:c>
      <x:c r="D15" s="18" t="str">
        <x:v>在教堂、东方庭院等剧中场景游历，手势舞、转场、玩梗；游泳/鸽子为创意例子。</x:v>
      </x:c>
      <x:c r="E15" s="18" t="str">
        <x:v>沿获选场景补拍/生成独立小内容，不只截剧照。</x:v>
      </x:c>
      <x:c r="F15" s="18" t="str">
        <x:v>IP 持续期逐步引入剧中空间</x:v>
      </x:c>
      <x:c r="G15" s="18" t="str">
        <x:v>场景定稿与造型可用性先核对；创意例子不等于剧本桥段。</x:v>
      </x:c>
      <x:c r="H15" s="18" t="str">
        <x:v>06:20–06:40；35:59–36:51</x:v>
      </x:c>
      <x:c r="I15" s="18" t="str">
        <x:v>yoyo虚拟人号：9/21、9/24、9/27、9/30</x:v>
      </x:c>
    </x:row>
    <x:row r="16" ht="116" customHeight="1">
      <x:c r="A16" s="15" t="str">
        <x:v>B3</x:v>
      </x:c>
      <x:c r="B16" s="15" t="str">
        <x:v>日常穿搭与审美单品</x:v>
      </x:c>
      <x:c r="C16" s="15" t="str">
        <x:v>会议明确</x:v>
      </x:c>
      <x:c r="D16" s="15" t="str">
        <x:v>生活感与穿搭结合；OOTD 图文、日常服装、一天 vlog。</x:v>
      </x:c>
      <x:c r="E16" s="15" t="str">
        <x:v>与 B1 共用日常采集，可独立形成穿搭图文。</x:v>
      </x:c>
      <x:c r="F16" s="15" t="str">
        <x:v>9 月 18 日起随日常更新</x:v>
      </x:c>
      <x:c r="G16" s="15" t="str">
        <x:v>同 B1 可合拍不删方向；如给带货矩阵则另核对商品、风格和许可。</x:v>
      </x:c>
      <x:c r="H16" s="15" t="str">
        <x:v>06:57；34:50–36:24；16:25–17:28</x:v>
      </x:c>
      <x:c r="I16" s="15" t="str">
        <x:v>yoyo矩阵号：9/18、9/21、9/24、9/26、9/30、10/6
yoyo虚拟人号：9/19、9/22、9/25、9/29、10/13</x:v>
      </x:c>
    </x:row>
    <x:row r="17" ht="116" customHeight="1">
      <x:c r="A17" s="18" t="str">
        <x:v>B4</x:v>
      </x:c>
      <x:c r="B17" s="18" t="str">
        <x:v>情绪、天气与节气表达</x:v>
      </x:c>
      <x:c r="C17" s="18" t="str">
        <x:v>方向解释，未逐条定</x:v>
      </x:c>
      <x:c r="D17" s="18" t="str">
        <x:v>情绪、天气、节气、国庆祝福和适合人设的热点。</x:v>
      </x:c>
      <x:c r="E17" s="18" t="str">
        <x:v>提前备节日/天气模板，结合真实发布日选择。</x:v>
      </x:c>
      <x:c r="F17" s="18" t="str">
        <x:v>IP 持续更新；节日当天或相应节点</x:v>
      </x:c>
      <x:c r="G17" s="18" t="str">
        <x:v>国庆祝福只是例子，不是已定 10 月 1 日排期。</x:v>
      </x:c>
      <x:c r="H17" s="18" t="str">
        <x:v>06:57–07:22；36:36–36:51</x:v>
      </x:c>
      <x:c r="I17" s="18" t="str">
        <x:v>未排入本轮</x:v>
      </x:c>
    </x:row>
    <x:row r="18" ht="116" customHeight="1">
      <x:c r="A18" s="15" t="str">
        <x:v>B5</x:v>
      </x:c>
      <x:c r="B18" s="15" t="str">
        <x:v>连续日常栏目与轻回应</x:v>
      </x:c>
      <x:c r="C18" s="15" t="str">
        <x:v>方向解释，未逐条定</x:v>
      </x:c>
      <x:c r="D18" s="15" t="str">
        <x:v>虚拟艺人口播、reaction、Q&amp;A 和连续栏目。</x:v>
      </x:c>
      <x:c r="E18" s="15" t="str">
        <x:v>先确认虚拟人物说什么、回应什么，再制声音和画面。</x:v>
      </x:c>
      <x:c r="F18" s="15" t="str">
        <x:v>IP 持续更新</x:v>
      </x:c>
      <x:c r="G18" s="15" t="str">
        <x:v>区别于 C5 真人看正片及 J6 真人回应；没有已定栏目数。</x:v>
      </x:c>
      <x:c r="H18" s="15" t="str">
        <x:v>07:22；36:17–36:51</x:v>
      </x:c>
      <x:c r="I18" s="15" t="str">
        <x:v>未排入本轮</x:v>
      </x:c>
    </x:row>
    <x:row r="19" ht="116" customHeight="1">
      <x:c r="A19" s="18" t="str">
        <x:v>C1</x:v>
      </x:c>
      <x:c r="B19" s="18" t="str">
        <x:v>分身介绍与身份衔接</x:v>
      </x:c>
      <x:c r="C19" s="18" t="str">
        <x:v>会议明确归属；大小号待选</x:v>
      </x:c>
      <x:c r="D19" s="18" t="str">
        <x:v>Yoyo 本人介绍数字分身、介绍参演；真人表达引到已有内容的虚拟号。</x:v>
      </x:c>
      <x:c r="E19" s="18" t="str">
        <x:v>拍真人介绍，准备分身成品；先给 Yoyo 看样片选择。</x:v>
      </x:c>
      <x:c r="F19" s="18" t="str">
        <x:v>分身启动前后；项目官宣再介绍参演</x:v>
      </x:c>
      <x:c r="G19" s="18" t="str">
        <x:v>抖音/小红书均可；大号小号尚未二选一；视频号存在与归属未核准。</x:v>
      </x:c>
      <x:c r="H19" s="18" t="str">
        <x:v>07:46；30:32–31:10；32:45–33:22；36:59–37:13</x:v>
      </x:c>
      <x:c r="I19" s="18" t="str">
        <x:v>yoyo真人小号：9/18、10/3、10/5
yoyo大号：9/18、9/29、10/6、10/8、10/10</x:v>
      </x:c>
    </x:row>
    <x:row r="20" ht="116" customHeight="1">
      <x:c r="A20" s="15" t="str">
        <x:v>C2</x:v>
      </x:c>
      <x:c r="B20" s="15" t="str">
        <x:v>真人角色感预演</x:v>
      </x:c>
      <x:c r="C20" s="15" t="str">
        <x:v>未单独点选，保留候选</x:v>
      </x:c>
      <x:c r="D20" s="15" t="str">
        <x:v>真人角色感预演/同句两种表达保留原方向，本次没有单独确认制作。</x:v>
      </x:c>
      <x:c r="E20" s="15" t="str">
        <x:v>只有选定方案后安排真人采集与虚拟版本。</x:v>
      </x:c>
      <x:c r="F20" s="15" t="str">
        <x:v>如选做，分身介绍或播前预热</x:v>
      </x:c>
      <x:c r="G20" s="15" t="str">
        <x:v>账号与时间为助手按内容推导，不冒充会议决定。</x:v>
      </x:c>
      <x:c r="H20" s="15" t="str">
        <x:v>07:46–08:12（仅 C 类关联）；本项未独立点选</x:v>
      </x:c>
      <x:c r="I20" s="15" t="str">
        <x:v>未排入本轮</x:v>
      </x:c>
    </x:row>
    <x:row r="21" ht="116" customHeight="1">
      <x:c r="A21" s="18" t="str">
        <x:v>C3</x:v>
      </x:c>
      <x:c r="B21" s="18" t="str">
        <x:v>同一句话，两种表达</x:v>
      </x:c>
      <x:c r="C21" s="18" t="str">
        <x:v>未单独点选，保留候选</x:v>
      </x:c>
      <x:c r="D21" s="18" t="str">
        <x:v>真人角色感预演/同句两种表达保留原方向，本次没有单独确认制作。</x:v>
      </x:c>
      <x:c r="E21" s="18" t="str">
        <x:v>只有选定方案后安排真人采集与虚拟版本。</x:v>
      </x:c>
      <x:c r="F21" s="18" t="str">
        <x:v>如选做，分身介绍或播前预热</x:v>
      </x:c>
      <x:c r="G21" s="18" t="str">
        <x:v>账号与时间为助手按内容推导，不冒充会议决定。</x:v>
      </x:c>
      <x:c r="H21" s="18" t="str">
        <x:v>07:46–08:12（仅 C 类关联）；本项未独立点选</x:v>
      </x:c>
      <x:c r="I21" s="18" t="str">
        <x:v>未排入本轮</x:v>
      </x:c>
    </x:row>
    <x:row r="22" ht="116" customHeight="1">
      <x:c r="A22" s="15" t="str">
        <x:v>C4</x:v>
      </x:c>
      <x:c r="B22" s="15" t="str">
        <x:v>真人动作接虚拟动作 / 同框</x:v>
      </x:c>
      <x:c r="C22" s="15" t="str">
        <x:v>会议具体建议</x:v>
      </x:c>
      <x:c r="D22" s="15" t="str">
        <x:v>真人拍前约 2 秒动作/状态，再接虚拟动作、换装或氛围出场；拍手同动作也可。</x:v>
      </x:c>
      <x:c r="E22" s="15" t="str">
        <x:v>先生成虚拟段倒推真人动作，或先拍真人再接；减少本人拍摄负担。</x:v>
      </x:c>
      <x:c r="F22" s="15" t="str">
        <x:v>分身接受期至播前集中期</x:v>
      </x:c>
      <x:c r="G22" s="15" t="str">
        <x:v>转写热点句不清，不写成已选脚本；真人账号选择看成片。</x:v>
      </x:c>
      <x:c r="H22" s="15" t="str">
        <x:v>07:46–08:12；37:30–37:50</x:v>
      </x:c>
      <x:c r="I22" s="15" t="str">
        <x:v>yoyo真人小号：9/23、10/6
yoyo虚拟人号：10/6</x:v>
      </x:c>
    </x:row>
    <x:row r="23" ht="116" customHeight="1">
      <x:c r="A23" s="18" t="str">
        <x:v>C5</x:v>
      </x:c>
      <x:c r="B23" s="18" t="str">
        <x:v>首次看成片与开播留言</x:v>
      </x:c>
      <x:c r="C23" s="18" t="str">
        <x:v>会议优先建议</x:v>
      </x:c>
      <x:c r="D23" s="18" t="str">
        <x:v>Yoyo 与助理/闺蜜/网红一起看正片的 reaction；三四人形式可选。</x:v>
      </x:c>
      <x:c r="E23" s="18" t="str">
        <x:v>可提前录真实观看反应，再按对应集上线时间释放。</x:v>
      </x:c>
      <x:c r="F23" s="18" t="str">
        <x:v>首播之后、两集间隔；例如第一集播后第 3 天</x:v>
      </x:c>
      <x:c r="G23" s="18" t="str">
        <x:v>第 3 天为排期例子；不是先把有剧透反应发在正片之前。</x:v>
      </x:c>
      <x:c r="H23" s="18" t="str">
        <x:v>08:35–09:10；37:50–38:12</x:v>
      </x:c>
      <x:c r="I23" s="18" t="str">
        <x:v>yoyo真人小号：10/13
切片号：9/18、9/21、9/25、9/29、10/2、10/13</x:v>
      </x:c>
    </x:row>
    <x:row r="24" ht="116" customHeight="1">
      <x:c r="A24" s="15" t="str">
        <x:v>D1</x:v>
      </x:c>
      <x:c r="B24" s="15" t="str">
        <x:v>男女主单人亮相与魅力片</x:v>
      </x:c>
      <x:c r="C24" s="15" t="str">
        <x:v>会议建议</x:v>
      </x:c>
      <x:c r="D24" s="15" t="str">
        <x:v>男女主帅/美/氛围亮相、高光 cut；围绕角色魅力。</x:v>
      </x:c>
      <x:c r="E24" s="15" t="str">
        <x:v>从已审角色镜头或独立营业素材制作。</x:v>
      </x:c>
      <x:c r="F24" s="15" t="str">
        <x:v>播前短预告式营业；已播高光随集</x:v>
      </x:c>
      <x:c r="G24" s="15" t="str">
        <x:v>男主号未交接；具体账号发对应角色，非所有号一律相同。</x:v>
      </x:c>
      <x:c r="H24" s="15" t="str">
        <x:v>09:10–09:42；38:19–39:40</x:v>
      </x:c>
      <x:c r="I24" s="15" t="str">
        <x:v>陆文川账号（未申请）：9/18、9/19、9/21、9/24、9/27、9/28、9/30、10/4、10/5、10/9、10/10、10/15
郑允书：9/18、9/22、9/27、9/30、10/3、10/8、10/10、10/13、10/15
yoyo虚拟人号：10/10、10/15</x:v>
      </x:c>
    </x:row>
    <x:row r="25" ht="116" customHeight="1">
      <x:c r="A25" s="18" t="str">
        <x:v>D2</x:v>
      </x:c>
      <x:c r="B25" s="18" t="str">
        <x:v>双人营业与关系互动</x:v>
      </x:c>
      <x:c r="C25" s="18" t="str">
        <x:v>会议明确共创方向</x:v>
      </x:c>
      <x:c r="D25" s="18" t="str">
        <x:v>男女主 CP 向共同创作、关系互动，各自号承接。</x:v>
      </x:c>
      <x:c r="E25" s="18" t="str">
        <x:v>两位运营共创同一关系内容；拍法按各自素材确定。</x:v>
      </x:c>
      <x:c r="F25" s="18" t="str">
        <x:v>T−7 可做短 CP 预热；随集释放已公开关系</x:v>
      </x:c>
      <x:c r="G25" s="18" t="str">
        <x:v>男主账号、登录手机号、运营交接先落实；38:36 后结局闲聊不作定稿或播前物料。</x:v>
      </x:c>
      <x:c r="H25" s="18" t="str">
        <x:v>09:27–09:42；19:04；38:19–38:28</x:v>
      </x:c>
      <x:c r="I25" s="18" t="str">
        <x:v>陆文川账号（未申请）：10/7、10/12、10/15
yoyo虚拟人号：10/7、10/12
营销号：10/12</x:v>
      </x:c>
    </x:row>
    <x:row r="26" ht="116" customHeight="1">
      <x:c r="A26" s="15" t="str">
        <x:v>D3</x:v>
      </x:c>
      <x:c r="B26" s="15" t="str">
        <x:v>角色快问快答</x:v>
      </x:c>
      <x:c r="C26" s="15" t="str">
        <x:v>D 类方向认可，未独立点选</x:v>
      </x:c>
      <x:c r="D26" s="15" t="str">
        <x:v>角色问答/角色日常小剧场可服务 CP 与人物营业；未单独决定条数。</x:v>
      </x:c>
      <x:c r="E26" s="15" t="str">
        <x:v>选定具体问题/小情境后两位虚拟账号运营协作。</x:v>
      </x:c>
      <x:c r="F26" s="15" t="str">
        <x:v>如选做：预热或随集；涉及剧情随对应集</x:v>
      </x:c>
      <x:c r="G26" s="15" t="str">
        <x:v>不能把 D 类共创方向扩大成 D3/D4 已立项。</x:v>
      </x:c>
      <x:c r="H26" s="15" t="str">
        <x:v>38:19–38:28（D 类共创）；本项未独立点选</x:v>
      </x:c>
      <x:c r="I26" s="15" t="str">
        <x:v>未排入本轮</x:v>
      </x:c>
    </x:row>
    <x:row r="27" ht="116" customHeight="1">
      <x:c r="A27" s="18" t="str">
        <x:v>D4</x:v>
      </x:c>
      <x:c r="B27" s="18" t="str">
        <x:v>角色日常与关系小剧场</x:v>
      </x:c>
      <x:c r="C27" s="18" t="str">
        <x:v>D 类方向认可，未独立点选</x:v>
      </x:c>
      <x:c r="D27" s="18" t="str">
        <x:v>角色问答/角色日常小剧场可服务 CP 与人物营业；未单独决定条数。</x:v>
      </x:c>
      <x:c r="E27" s="18" t="str">
        <x:v>选定具体问题/小情境后两位虚拟账号运营协作。</x:v>
      </x:c>
      <x:c r="F27" s="18" t="str">
        <x:v>如选做：预热或随集；涉及剧情随对应集</x:v>
      </x:c>
      <x:c r="G27" s="18" t="str">
        <x:v>不能把 D 类共创方向扩大成 D3/D4 已立项。</x:v>
      </x:c>
      <x:c r="H27" s="18" t="str">
        <x:v>38:19–38:28（D 类共创）；本项未独立点选</x:v>
      </x:c>
      <x:c r="I27" s="18" t="str">
        <x:v>陆文川账号（未申请）：9/30
郑允书：10/13</x:v>
      </x:c>
    </x:row>
    <x:row r="28" ht="116" customHeight="1">
      <x:c r="A28" s="15" t="str">
        <x:v>E1</x:v>
      </x:c>
      <x:c r="B28" s="15" t="str">
        <x:v>女主选装与饰品选择</x:v>
      </x:c>
      <x:c r="C28" s="15" t="str">
        <x:v>会议优先讨论</x:v>
      </x:c>
      <x:c r="D28" s="15" t="str">
        <x:v>选装、场景、表情、光色与氛围判断；“制片人的一天”的真实工作。</x:v>
      </x:c>
      <x:c r="E28" s="15" t="str">
        <x:v>拟周五会议：相机主记录、手机侧拍、独立麦克风；设备与人手提前对接。</x:v>
      </x:c>
      <x:c r="F28" s="15" t="str">
        <x:v>先采集；无剧透判断可在预热发，结果对照随对应集</x:v>
      </x:c>
      <x:c r="G28" s="15" t="str">
        <x:v>40:07“13”疑指 E1/E3；直播是提议，后又倾向拍摄过程，能否拍到未定。周五日期待确认。</x:v>
      </x:c>
      <x:c r="H28" s="15" t="str">
        <x:v>09:42–11:21；39:44–41:28</x:v>
      </x:c>
      <x:c r="I28" s="15" t="str">
        <x:v>方舟AI：9/18
yoyo真人小号：9/20、9/21、9/27、10/7</x:v>
      </x:c>
    </x:row>
    <x:row r="29" ht="116" customHeight="1">
      <x:c r="A29" s="18" t="str">
        <x:v>E2</x:v>
      </x:c>
      <x:c r="B29" s="18" t="str">
        <x:v>男主与双人搭配会</x:v>
      </x:c>
      <x:c r="C29" s="18" t="str">
        <x:v>同类延伸，未独立点选</x:v>
      </x:c>
      <x:c r="D29" s="18" t="str">
        <x:v>双人搭配会保留；本次主要讨论选装/场景，未单独安排男主搭配会。</x:v>
      </x:c>
      <x:c r="E29" s="18" t="str">
        <x:v>可与 E1 共用会议，但要确有双人搭配议题。</x:v>
      </x:c>
      <x:c r="F29" s="18" t="str">
        <x:v>按实际采集；无剧透播前，结果随集</x:v>
      </x:c>
      <x:c r="G29" s="18" t="str">
        <x:v>具体会议议题与两人造型待获选。</x:v>
      </x:c>
      <x:c r="H29" s="18" t="str">
        <x:v>09:42；39:44–40:01（同类关联）</x:v>
      </x:c>
      <x:c r="I29" s="18" t="str">
        <x:v>未排入本轮</x:v>
      </x:c>
    </x:row>
    <x:row r="30" ht="116" customHeight="1">
      <x:c r="A30" s="15" t="str">
        <x:v>E3</x:v>
      </x:c>
      <x:c r="B30" s="15" t="str">
        <x:v>场景、光色与构图审美会</x:v>
      </x:c>
      <x:c r="C30" s="15" t="str">
        <x:v>会议优先讨论</x:v>
      </x:c>
      <x:c r="D30" s="15" t="str">
        <x:v>选装、场景、表情、光色与氛围判断；“制片人的一天”的真实工作。</x:v>
      </x:c>
      <x:c r="E30" s="15" t="str">
        <x:v>拟周五会议：相机主记录、手机侧拍、独立麦克风；设备与人手提前对接。</x:v>
      </x:c>
      <x:c r="F30" s="15" t="str">
        <x:v>先采集；无剧透判断可在预热发，结果对照随对应集</x:v>
      </x:c>
      <x:c r="G30" s="15" t="str">
        <x:v>40:07“13”疑指 E1/E3；直播是提议，后又倾向拍摄过程，能否拍到未定。周五日期待确认。</x:v>
      </x:c>
      <x:c r="H30" s="15" t="str">
        <x:v>09:42–11:21；39:44–41:28</x:v>
      </x:c>
      <x:c r="I30" s="15" t="str">
        <x:v>方舟AI：9/18
yoyo真人小号：9/20、9/21、9/27、10/7</x:v>
      </x:c>
    </x:row>
    <x:row r="31" ht="116" customHeight="1">
      <x:c r="A31" s="18" t="str">
        <x:v>E4</x:v>
      </x:c>
      <x:c r="B31" s="18" t="str">
        <x:v>表演、台词与动作判断</x:v>
      </x:c>
      <x:c r="C31" s="18" t="str">
        <x:v>会议建议合并采集</x:v>
      </x:c>
      <x:c r="D31" s="18" t="str">
        <x:v>表演判断、审片修改、制片取舍，可合成“制片人的一天”。</x:v>
      </x:c>
      <x:c r="E31" s="18" t="str">
        <x:v>记录看第一版、讨论问题、修改决定；完成片 reaction 归 C5。</x:v>
      </x:c>
      <x:c r="F31" s="18" t="str">
        <x:v>现在采集；无剧透工作片预热，含当集画面随集</x:v>
      </x:c>
      <x:c r="G31" s="18" t="str">
        <x:v>E4/E5/E6 同一次采集，不强制三支片；小号优先，大号仅争取。能否拍到与剪辑人力未落实。</x:v>
      </x:c>
      <x:c r="H31" s="18" t="str">
        <x:v>40:27–41:32</x:v>
      </x:c>
      <x:c r="I31" s="18" t="str">
        <x:v>yoyo真人小号：9/20、9/27、9/28、10/14</x:v>
      </x:c>
    </x:row>
    <x:row r="32" ht="116" customHeight="1">
      <x:c r="A32" s="15" t="str">
        <x:v>E5</x:v>
      </x:c>
      <x:c r="B32" s="15" t="str">
        <x:v>整集审片与修改意见</x:v>
      </x:c>
      <x:c r="C32" s="15" t="str">
        <x:v>会议建议合并采集</x:v>
      </x:c>
      <x:c r="D32" s="15" t="str">
        <x:v>表演判断、审片修改、制片取舍，可合成“制片人的一天”。</x:v>
      </x:c>
      <x:c r="E32" s="15" t="str">
        <x:v>记录看第一版、讨论问题、修改决定；完成片 reaction 归 C5。</x:v>
      </x:c>
      <x:c r="F32" s="15" t="str">
        <x:v>现在采集；无剧透工作片预热，含当集画面随集</x:v>
      </x:c>
      <x:c r="G32" s="15" t="str">
        <x:v>E4/E5/E6 同一次采集，不强制三支片；小号优先，大号仅争取。能否拍到与剪辑人力未落实。</x:v>
      </x:c>
      <x:c r="H32" s="15" t="str">
        <x:v>40:27–41:32</x:v>
      </x:c>
      <x:c r="I32" s="15" t="str">
        <x:v>yoyo真人小号：9/20、9/27、9/28、10/14</x:v>
      </x:c>
    </x:row>
    <x:row r="33" ht="116" customHeight="1">
      <x:c r="A33" s="18" t="str">
        <x:v>E6</x:v>
      </x:c>
      <x:c r="B33" s="18" t="str">
        <x:v>制作会上的优先级与取舍</x:v>
      </x:c>
      <x:c r="C33" s="18" t="str">
        <x:v>会议建议合并采集</x:v>
      </x:c>
      <x:c r="D33" s="18" t="str">
        <x:v>表演判断、审片修改、制片取舍，可合成“制片人的一天”。</x:v>
      </x:c>
      <x:c r="E33" s="18" t="str">
        <x:v>记录看第一版、讨论问题、修改决定；完成片 reaction 归 C5。</x:v>
      </x:c>
      <x:c r="F33" s="18" t="str">
        <x:v>现在采集；无剧透工作片预热，含当集画面随集</x:v>
      </x:c>
      <x:c r="G33" s="18" t="str">
        <x:v>E4/E5/E6 同一次采集，不强制三支片；小号优先，大号仅争取。能否拍到与剪辑人力未落实。</x:v>
      </x:c>
      <x:c r="H33" s="18" t="str">
        <x:v>40:27–41:32</x:v>
      </x:c>
      <x:c r="I33" s="18" t="str">
        <x:v>yoyo真人小号：9/20、9/27、9/28、10/14</x:v>
      </x:c>
    </x:row>
    <x:row r="34" ht="116" customHeight="1">
      <x:c r="A34" s="15" t="str">
        <x:v>E7</x:v>
      </x:c>
      <x:c r="B34" s="15" t="str">
        <x:v>修改复看与结果回访</x:v>
      </x:c>
      <x:c r="C34" s="15" t="str">
        <x:v>未独立点选，执行推导</x:v>
      </x:c>
      <x:c r="D34" s="15" t="str">
        <x:v>把 E4–E6 的修改意见与采用后的结果做回访。</x:v>
      </x:c>
      <x:c r="E34" s="15" t="str">
        <x:v>保存意见、修改前后同镜头与版本号，再补结果表达。</x:v>
      </x:c>
      <x:c r="F34" s="15" t="str">
        <x:v>对应集公开后，必要时收官回访</x:v>
      </x:c>
      <x:c r="G34" s="15" t="str">
        <x:v>不能把一次提到“回访”当已明确 E7 拍摄任务。</x:v>
      </x:c>
      <x:c r="H34" s="15" t="str">
        <x:v>39:50–40:57 仅关联过程；本项未独立定</x:v>
      </x:c>
      <x:c r="I34" s="15" t="str">
        <x:v>未排入本轮</x:v>
      </x:c>
    </x:row>
    <x:row r="35" ht="116" customHeight="1">
      <x:c r="A35" s="18" t="str">
        <x:v>F1</x:v>
      </x:c>
      <x:c r="B35" s="18" t="str">
        <x:v>围读与台词排练</x:v>
      </x:c>
      <x:c r="C35" s="18" t="str">
        <x:v>F 类账号明确，单项未全选</x:v>
      </x:c>
      <x:c r="D35" s="18" t="str">
        <x:v>真实团队工作、与 Yoyo 的沟通、制作过程；围读/动作参考/美术/团队纪录按现场存在选拍。</x:v>
      </x:c>
      <x:c r="E35" s="18" t="str">
        <x:v>与 E 共用会议采集，保留岗位过程和完成效果；不要求每个方向单独拍片。</x:v>
      </x:c>
      <x:c r="F35" s="18" t="str">
        <x:v>采集现在开始；无剧透过程预热，对应结果随集</x:v>
      </x:c>
      <x:c r="G35" s="18" t="str">
        <x:v>会议认为与 Yoyo 互动更有观看理由；没有否定所有岗位留档。具体 F 子项仍待选。</x:v>
      </x:c>
      <x:c r="H35" s="18" t="str">
        <x:v>11:50–13:53；41:32–41:40</x:v>
      </x:c>
      <x:c r="I35" s="18" t="str">
        <x:v>未排入本轮</x:v>
      </x:c>
    </x:row>
    <x:row r="36" ht="116" customHeight="1">
      <x:c r="A36" s="15" t="str">
        <x:v>F2</x:v>
      </x:c>
      <x:c r="B36" s="15" t="str">
        <x:v>真人动作参考与角色完成画面</x:v>
      </x:c>
      <x:c r="C36" s="15" t="str">
        <x:v>F 类账号明确，单项未全选</x:v>
      </x:c>
      <x:c r="D36" s="15" t="str">
        <x:v>真实团队工作、与 Yoyo 的沟通、制作过程；围读/动作参考/美术/团队纪录按现场存在选拍。</x:v>
      </x:c>
      <x:c r="E36" s="15" t="str">
        <x:v>与 E 共用会议采集，保留岗位过程和完成效果；不要求每个方向单独拍片。</x:v>
      </x:c>
      <x:c r="F36" s="15" t="str">
        <x:v>采集现在开始；无剧透过程预热，对应结果随集</x:v>
      </x:c>
      <x:c r="G36" s="15" t="str">
        <x:v>会议认为与 Yoyo 互动更有观看理由；没有否定所有岗位留档。具体 F 子项仍待选。</x:v>
      </x:c>
      <x:c r="H36" s="15" t="str">
        <x:v>11:50–13:53；41:32–41:40</x:v>
      </x:c>
      <x:c r="I36" s="15" t="str">
        <x:v>方舟AI：9/29、10/13</x:v>
      </x:c>
    </x:row>
    <x:row r="37" ht="116" customHeight="1">
      <x:c r="A37" s="18" t="str">
        <x:v>F3</x:v>
      </x:c>
      <x:c r="B37" s="18" t="str">
        <x:v>美术与场景制作过程</x:v>
      </x:c>
      <x:c r="C37" s="18" t="str">
        <x:v>F 类账号明确，单项未全选</x:v>
      </x:c>
      <x:c r="D37" s="18" t="str">
        <x:v>真实团队工作、与 Yoyo 的沟通、制作过程；围读/动作参考/美术/团队纪录按现场存在选拍。</x:v>
      </x:c>
      <x:c r="E37" s="18" t="str">
        <x:v>与 E 共用会议采集，保留岗位过程和完成效果；不要求每个方向单独拍片。</x:v>
      </x:c>
      <x:c r="F37" s="18" t="str">
        <x:v>采集现在开始；无剧透过程预热，对应结果随集</x:v>
      </x:c>
      <x:c r="G37" s="18" t="str">
        <x:v>会议认为与 Yoyo 互动更有观看理由；没有否定所有岗位留档。具体 F 子项仍待选。</x:v>
      </x:c>
      <x:c r="H37" s="18" t="str">
        <x:v>11:50–13:53；41:32–41:40</x:v>
      </x:c>
      <x:c r="I37" s="18" t="str">
        <x:v>方舟AI：9/20、9/22、9/24、10/5、10/7</x:v>
      </x:c>
    </x:row>
    <x:row r="38" ht="116" customHeight="1">
      <x:c r="A38" s="15" t="str">
        <x:v>F4</x:v>
      </x:c>
      <x:c r="B38" s="15" t="str">
        <x:v>配音、拟音与声音制作过程</x:v>
      </x:c>
      <x:c r="C38" s="15" t="str">
        <x:v>制作比较建议；F 类账号明确</x:v>
      </x:c>
      <x:c r="D38" s="15" t="str">
        <x:v>无音乐/有音乐、原版/完成版、剪辑和声音怎样改变一场戏。</x:v>
      </x:c>
      <x:c r="E38" s="15" t="str">
        <x:v>保存同场戏的声音分轨与版本；叶总/Yoyo 的解释可配成片对照。</x:v>
      </x:c>
      <x:c r="F38" s="15" t="str">
        <x:v>对应镜头可公开后；无剧透片段可预热</x:v>
      </x:c>
      <x:c r="G38" s="15" t="str">
        <x:v>声音前后对比主要归 F4/F5，不能只因说到音乐就认定 I2 歌曲 MV 已决定。</x:v>
      </x:c>
      <x:c r="H38" s="15" t="str">
        <x:v>13:53–14:10；41:40–42:22</x:v>
      </x:c>
      <x:c r="I38" s="15" t="str">
        <x:v>方舟AI：9/26、10/10、10/11</x:v>
      </x:c>
    </x:row>
    <x:row r="39" ht="116" customHeight="1">
      <x:c r="A39" s="18" t="str">
        <x:v>F5</x:v>
      </x:c>
      <x:c r="B39" s="18" t="str">
        <x:v>剪辑与节奏前后对比</x:v>
      </x:c>
      <x:c r="C39" s="18" t="str">
        <x:v>制作比较建议；F 类账号明确</x:v>
      </x:c>
      <x:c r="D39" s="18" t="str">
        <x:v>无音乐/有音乐、原版/完成版、剪辑和声音怎样改变一场戏。</x:v>
      </x:c>
      <x:c r="E39" s="18" t="str">
        <x:v>保存同场戏的声音分轨与版本；叶总/Yoyo 的解释可配成片对照。</x:v>
      </x:c>
      <x:c r="F39" s="18" t="str">
        <x:v>对应镜头可公开后；无剧透片段可预热</x:v>
      </x:c>
      <x:c r="G39" s="18" t="str">
        <x:v>声音前后对比主要归 F4/F5，不能只因说到音乐就认定 I2 歌曲 MV 已决定。</x:v>
      </x:c>
      <x:c r="H39" s="18" t="str">
        <x:v>13:53–14:10；41:40–42:22</x:v>
      </x:c>
      <x:c r="I39" s="18" t="str">
        <x:v>方舟AI：9/20、9/26、9/29、10/5、10/10、10/11、10/13</x:v>
      </x:c>
    </x:row>
    <x:row r="40" ht="116" customHeight="1">
      <x:c r="A40" s="15" t="str">
        <x:v>F6</x:v>
      </x:c>
      <x:c r="B40" s="15" t="str">
        <x:v>团队日常、工作室与完整纪录</x:v>
      </x:c>
      <x:c r="C40" s="15" t="str">
        <x:v>F 类账号明确，单项未全选</x:v>
      </x:c>
      <x:c r="D40" s="15" t="str">
        <x:v>真实团队工作、与 Yoyo 的沟通、制作过程；围读/动作参考/美术/团队纪录按现场存在选拍。</x:v>
      </x:c>
      <x:c r="E40" s="15" t="str">
        <x:v>与 E 共用会议采集，保留岗位过程和完成效果；不要求每个方向单独拍片。</x:v>
      </x:c>
      <x:c r="F40" s="15" t="str">
        <x:v>采集现在开始；无剧透过程预热，对应结果随集</x:v>
      </x:c>
      <x:c r="G40" s="15" t="str">
        <x:v>会议认为与 Yoyo 互动更有观看理由；没有否定所有岗位留档。具体 F 子项仍待选。</x:v>
      </x:c>
      <x:c r="H40" s="15" t="str">
        <x:v>11:50–13:53；41:32–41:40</x:v>
      </x:c>
      <x:c r="I40" s="15" t="str">
        <x:v>方舟AI：9/18</x:v>
      </x:c>
    </x:row>
    <x:row r="41" ht="116" customHeight="1">
      <x:c r="A41" s="18" t="str">
        <x:v>G1</x:v>
      </x:c>
      <x:c r="B41" s="18" t="str">
        <x:v>人物内心与价值观长谈</x:v>
      </x:c>
      <x:c r="C41" s="18" t="str">
        <x:v>会议暂缓</x:v>
      </x:c>
      <x:c r="D41" s="18" t="str">
        <x:v>主创、人性/价值观、创作缘起与故事解读；主创观点辅助演员表达的剪法可讨论。</x:v>
      </x:c>
      <x:c r="E41" s="18" t="str">
        <x:v>先问叶总是否做、谁讲、是否采访；目前不硬排拍摄。</x:v>
      </x:c>
      <x:c r="F41" s="18" t="str">
        <x:v>待定；如涉及深层人物/结局，沿用收官后原则</x:v>
      </x:c>
      <x:c r="G41" s="18" t="str">
        <x:v>会议明确“待定问问叶总、先跳过”；不是已批准三项全做。账号与收官阶段为现有原则/推导。</x:v>
      </x:c>
      <x:c r="H41" s="18" t="str">
        <x:v>12:10–13:12；41:47–41:53；42:22</x:v>
      </x:c>
      <x:c r="I41" s="18" t="str">
        <x:v>未排入本轮</x:v>
      </x:c>
    </x:row>
    <x:row r="42" ht="116" customHeight="1">
      <x:c r="A42" s="15" t="str">
        <x:v>G2</x:v>
      </x:c>
      <x:c r="B42" s="15" t="str">
        <x:v>为什么要自己做这部剧</x:v>
      </x:c>
      <x:c r="C42" s="15" t="str">
        <x:v>会议暂缓</x:v>
      </x:c>
      <x:c r="D42" s="15" t="str">
        <x:v>主创、人性/价值观、创作缘起与故事解读；主创观点辅助演员表达的剪法可讨论。</x:v>
      </x:c>
      <x:c r="E42" s="15" t="str">
        <x:v>先问叶总是否做、谁讲、是否采访；目前不硬排拍摄。</x:v>
      </x:c>
      <x:c r="F42" s="15" t="str">
        <x:v>待定；如涉及深层人物/结局，沿用收官后原则</x:v>
      </x:c>
      <x:c r="G42" s="15" t="str">
        <x:v>会议明确“待定问问叶总、先跳过”；不是已批准三项全做。账号与收官阶段为现有原则/推导。</x:v>
      </x:c>
      <x:c r="H42" s="15" t="str">
        <x:v>12:10–13:12；41:47–41:53；42:22</x:v>
      </x:c>
      <x:c r="I42" s="15" t="str">
        <x:v>未排入本轮</x:v>
      </x:c>
    </x:row>
    <x:row r="43" ht="116" customHeight="1">
      <x:c r="A43" s="18" t="str">
        <x:v>G3</x:v>
      </x:c>
      <x:c r="B43" s="18" t="str">
        <x:v>伏笔、版本与水火关系回访</x:v>
      </x:c>
      <x:c r="C43" s="18" t="str">
        <x:v>会议暂缓</x:v>
      </x:c>
      <x:c r="D43" s="18" t="str">
        <x:v>主创、人性/价值观、创作缘起与故事解读；主创观点辅助演员表达的剪法可讨论。</x:v>
      </x:c>
      <x:c r="E43" s="18" t="str">
        <x:v>先问叶总是否做、谁讲、是否采访；目前不硬排拍摄。</x:v>
      </x:c>
      <x:c r="F43" s="18" t="str">
        <x:v>待定；如涉及深层人物/结局，沿用收官后原则</x:v>
      </x:c>
      <x:c r="G43" s="18" t="str">
        <x:v>会议明确“待定问问叶总、先跳过”；不是已批准三项全做。账号与收官阶段为现有原则/推导。</x:v>
      </x:c>
      <x:c r="H43" s="18" t="str">
        <x:v>12:10–13:12；41:47–41:53；42:22</x:v>
      </x:c>
      <x:c r="I43" s="18" t="str">
        <x:v>未排入本轮</x:v>
      </x:c>
    </x:row>
    <x:row r="44" ht="116" customHeight="1">
      <x:c r="A44" s="15" t="str">
        <x:v>H1</x:v>
      </x:c>
      <x:c r="B44" s="15" t="str">
        <x:v>庭院、教堂与临水空间氛围</x:v>
      </x:c>
      <x:c r="C44" s="15" t="str">
        <x:v>会议方向建议</x:v>
      </x:c>
      <x:c r="D44" s="15" t="str">
        <x:v>已获选空间、服装和中间资产的美感展示，体现公司认真制作。</x:v>
      </x:c>
      <x:c r="E44" s="15" t="str">
        <x:v>保存高清资产与采用状态；空间氛围、服装细节可独立做图文/短片。</x:v>
      </x:c>
      <x:c r="F44" s="15" t="str">
        <x:v>预热可先展示无剧透获选资产，播出配合对应集</x:v>
      </x:c>
      <x:c r="G44" s="15" t="str">
        <x:v>资产定稿尚不清；黑婚纱一套/两套口述有变化，不能直接锁版本。</x:v>
      </x:c>
      <x:c r="H44" s="15" t="str">
        <x:v>13:12–13:53；42:06–42:22；45:30–46:23</x:v>
      </x:c>
      <x:c r="I44" s="15" t="str">
        <x:v>未排入本轮</x:v>
      </x:c>
    </x:row>
    <x:row r="45" ht="116" customHeight="1">
      <x:c r="A45" s="18" t="str">
        <x:v>H2</x:v>
      </x:c>
      <x:c r="B45" s="18" t="str">
        <x:v>服装、饰品与造型细节</x:v>
      </x:c>
      <x:c r="C45" s="18" t="str">
        <x:v>会议方向建议</x:v>
      </x:c>
      <x:c r="D45" s="18" t="str">
        <x:v>已获选空间、服装和中间资产的美感展示，体现公司认真制作。</x:v>
      </x:c>
      <x:c r="E45" s="18" t="str">
        <x:v>保存高清资产与采用状态；空间氛围、服装细节可独立做图文/短片。</x:v>
      </x:c>
      <x:c r="F45" s="18" t="str">
        <x:v>预热可先展示无剧透获选资产，播出配合对应集</x:v>
      </x:c>
      <x:c r="G45" s="18" t="str">
        <x:v>资产定稿尚不清；黑婚纱一套/两套口述有变化，不能直接锁版本。</x:v>
      </x:c>
      <x:c r="H45" s="18" t="str">
        <x:v>13:12–13:53；42:06–42:22；45:30–46:23</x:v>
      </x:c>
      <x:c r="I45" s="18" t="str">
        <x:v>方舟AI：9/22、10/7
yoyo矩阵号：9/18、9/21、9/24、9/26、9/30</x:v>
      </x:c>
    </x:row>
    <x:row r="46" ht="116" customHeight="1">
      <x:c r="A46" s="15" t="str">
        <x:v>H3</x:v>
      </x:c>
      <x:c r="B46" s="15" t="str">
        <x:v>单人与双人视觉写真</x:v>
      </x:c>
      <x:c r="C46" s="15" t="str">
        <x:v>会议具体建议，归类推导</x:v>
      </x:c>
      <x:c r="D46" s="15" t="str">
        <x:v>在教堂/东方庭院为人物补拍宣传写真图文，不局限正片截图。</x:v>
      </x:c>
      <x:c r="E46" s="15" t="str">
        <x:v>虚拟补拍/生成获选造型的单人与双人宣传画面。</x:v>
      </x:c>
      <x:c r="F46" s="15" t="str">
        <x:v>官宣及播前预热，后续营业接续</x:v>
      </x:c>
      <x:c r="G46" s="15" t="str">
        <x:v>讨论中问是否属于 A；这里按独立写真归 H3，用作官宣主视觉时再关联 A1。</x:v>
      </x:c>
      <x:c r="H46" s="15" t="str">
        <x:v>29:30–30:21</x:v>
      </x:c>
      <x:c r="I46" s="15" t="str">
        <x:v>郑允书：9/18、9/22、9/27、9/30、10/3</x:v>
      </x:c>
    </x:row>
    <x:row r="47" ht="116" customHeight="1">
      <x:c r="A47" s="18" t="str">
        <x:v>H4</x:v>
      </x:c>
      <x:c r="B47" s="18" t="str">
        <x:v>壁纸、头像与表情素材</x:v>
      </x:c>
      <x:c r="C47" s="18" t="str">
        <x:v>未独立点选，保留候选</x:v>
      </x:c>
      <x:c r="D47" s="18" t="str">
        <x:v>壁纸头像表情与片名水火视觉继续保留，会议没有单独确认。</x:v>
      </x:c>
      <x:c r="E47" s="18" t="str">
        <x:v>有获选资产和使用需求再做衍生尺寸。</x:v>
      </x:c>
      <x:c r="F47" s="18" t="str">
        <x:v>如选做，官宣至播出；结局含义收官后</x:v>
      </x:c>
      <x:c r="G47" s="18" t="str">
        <x:v>账号和阶段为助手建议；不因为 H 类过会就全部排产。</x:v>
      </x:c>
      <x:c r="H47" s="18" t="str">
        <x:v>13:12–13:53、42:06 为 H 类关联，非子项决定</x:v>
      </x:c>
      <x:c r="I47" s="18" t="str">
        <x:v>未排入本轮</x:v>
      </x:c>
    </x:row>
    <x:row r="48" ht="116" customHeight="1">
      <x:c r="A48" s="15" t="str">
        <x:v>H5</x:v>
      </x:c>
      <x:c r="B48" s="15" t="str">
        <x:v>片名与水火意象视觉</x:v>
      </x:c>
      <x:c r="C48" s="15" t="str">
        <x:v>未独立点选，保留候选</x:v>
      </x:c>
      <x:c r="D48" s="15" t="str">
        <x:v>壁纸头像表情与片名水火视觉继续保留，会议没有单独确认。</x:v>
      </x:c>
      <x:c r="E48" s="15" t="str">
        <x:v>有获选资产和使用需求再做衍生尺寸。</x:v>
      </x:c>
      <x:c r="F48" s="15" t="str">
        <x:v>如选做，官宣至播出；结局含义收官后</x:v>
      </x:c>
      <x:c r="G48" s="15" t="str">
        <x:v>账号和阶段为助手建议；不因为 H 类过会就全部排产。</x:v>
      </x:c>
      <x:c r="H48" s="15" t="str">
        <x:v>13:12–13:53、42:06 为 H 类关联，非子项决定</x:v>
      </x:c>
      <x:c r="I48" s="15" t="str">
        <x:v>未排入本轮</x:v>
      </x:c>
    </x:row>
    <x:row r="49" ht="116" customHeight="1">
      <x:c r="A49" s="18" t="str">
        <x:v>I1</x:v>
      </x:c>
      <x:c r="B49" s="18" t="str">
        <x:v>关系音乐与声音先导</x:v>
      </x:c>
      <x:c r="C49" s="18" t="str">
        <x:v>I 类方向讨论，单项未点选</x:v>
      </x:c>
      <x:c r="D49" s="18" t="str">
        <x:v>关系音乐/角色声音/环境声可作为作品听觉展示；目前更明确的是制作前后对比。</x:v>
      </x:c>
      <x:c r="E49" s="18" t="str">
        <x:v>先盘可用声音资产；过程对比回到 F4/F5，独立听觉成品才归 I。</x:v>
      </x:c>
      <x:c r="F49" s="18" t="str">
        <x:v>按公开镜头与声音条件，播前或随集</x:v>
      </x:c>
      <x:c r="G49" s="18" t="str">
        <x:v>独立声音物料具体内容待选；不能把讨论统称已定音乐企划。</x:v>
      </x:c>
      <x:c r="H49" s="18" t="str">
        <x:v>13:53–14:10；42:22</x:v>
      </x:c>
      <x:c r="I49" s="18" t="str">
        <x:v>未排入本轮</x:v>
      </x:c>
    </x:row>
    <x:row r="50" ht="116" customHeight="1">
      <x:c r="A50" s="15" t="str">
        <x:v>I2</x:v>
      </x:c>
      <x:c r="B50" s="15" t="str">
        <x:v>主题 / 推广曲与 MV</x:v>
      </x:c>
      <x:c r="C50" s="15" t="str">
        <x:v>未点选，条件储备</x:v>
      </x:c>
      <x:c r="D50" s="15" t="str">
        <x:v>主题/推广曲与 MV 未在本次单独立项。</x:v>
      </x:c>
      <x:c r="E50" s="15" t="str">
        <x:v>先落实歌曲、演唱/音乐资源与使用范围。</x:v>
      </x:c>
      <x:c r="F50" s="15" t="str">
        <x:v>待资源落实；候选为播前/随集/收官</x:v>
      </x:c>
      <x:c r="G50" s="15" t="str">
        <x:v>无已定歌曲、MV、预算或档期。</x:v>
      </x:c>
      <x:c r="H50" s="15" t="str">
        <x:v>本次未独立讨论；13:53 音乐制作不是歌曲立项</x:v>
      </x:c>
      <x:c r="I50" s="15" t="str">
        <x:v>未排入本轮</x:v>
      </x:c>
    </x:row>
    <x:row r="51" ht="116" customHeight="1">
      <x:c r="A51" s="18" t="str">
        <x:v>I3</x:v>
      </x:c>
      <x:c r="B51" s="18" t="str">
        <x:v>角色声音与环境声小片</x:v>
      </x:c>
      <x:c r="C51" s="18" t="str">
        <x:v>I 类方向讨论，单项未点选</x:v>
      </x:c>
      <x:c r="D51" s="18" t="str">
        <x:v>关系音乐/角色声音/环境声可作为作品听觉展示；目前更明确的是制作前后对比。</x:v>
      </x:c>
      <x:c r="E51" s="18" t="str">
        <x:v>先盘可用声音资产；过程对比回到 F4/F5，独立听觉成品才归 I。</x:v>
      </x:c>
      <x:c r="F51" s="18" t="str">
        <x:v>按公开镜头与声音条件，播前或随集</x:v>
      </x:c>
      <x:c r="G51" s="18" t="str">
        <x:v>独立声音物料具体内容待选；不能把讨论统称已定音乐企划。</x:v>
      </x:c>
      <x:c r="H51" s="18" t="str">
        <x:v>13:53–14:10；42:22</x:v>
      </x:c>
      <x:c r="I51" s="18" t="str">
        <x:v>未排入本轮</x:v>
      </x:c>
    </x:row>
    <x:row r="52" ht="116" customHeight="1">
      <x:c r="A52" s="15" t="str">
        <x:v>J1</x:v>
      </x:c>
      <x:c r="B52" s="15" t="str">
        <x:v>主创直播系列与直播切片</x:v>
      </x:c>
      <x:c r="C52" s="15" t="str">
        <x:v>会议优先路径</x:v>
      </x:c>
      <x:c r="D52" s="15" t="str">
        <x:v>Yoyo 直播讲剧、安利、聊 AI、展示少量可公开画面；交现有直播切片团队剪发。</x:v>
      </x:c>
      <x:c r="E52" s="15" t="str">
        <x:v>策划直播问题和展示包，录完整直播并标记可剪时间点。</x:v>
      </x:c>
      <x:c r="F52" s="15" t="str">
        <x:v>首播当天可开直播；结束后开始发切片，随播继续</x:v>
      </x:c>
      <x:c r="G52" s="15" t="str">
        <x:v>哪一个真人号直播未定；几百个切片账号与每号一条是资源/执行设想，非确认交付量。</x:v>
      </x:c>
      <x:c r="H52" s="15" t="str">
        <x:v>04:27–05:34；14:25；19:04–19:29</x:v>
      </x:c>
      <x:c r="I52" s="15" t="str">
        <x:v>yoyo真人小号：10/9、10/10
切片号：9/18、9/21、9/25、9/29、10/2、10/4、10/7、10/9、10/10、10/11</x:v>
      </x:c>
    </x:row>
    <x:row r="53" ht="116" customHeight="1">
      <x:c r="A53" s="18" t="str">
        <x:v>J2</x:v>
      </x:c>
      <x:c r="B53" s="18" t="str">
        <x:v>试看片与线上看片会</x:v>
      </x:c>
      <x:c r="C53" s="18" t="str">
        <x:v>会议建议</x:v>
      </x:c>
      <x:c r="D53" s="18" t="str">
        <x:v>聊播中加入几分钟一起看片，边看边聊；可衔接 C5 观看反应。</x:v>
      </x:c>
      <x:c r="E53" s="18" t="str">
        <x:v>提前准备片段与提问，实际反应自然保留。</x:v>
      </x:c>
      <x:c r="F53" s="18" t="str">
        <x:v>T 日或对应集上线后、两集间隔</x:v>
      </x:c>
      <x:c r="G53" s="18" t="str">
        <x:v>避免拿会议关于真人生活的猜测当提问事实；具体主持、嘉宾、档期待定。</x:v>
      </x:c>
      <x:c r="H53" s="18" t="str">
        <x:v>14:35–15:10；42:35–42:51</x:v>
      </x:c>
      <x:c r="I53" s="18" t="str">
        <x:v>yoyo真人小号：10/9、10/10</x:v>
      </x:c>
    </x:row>
    <x:row r="54" ht="116" customHeight="1">
      <x:c r="A54" s="15" t="str">
        <x:v>J3</x:v>
      </x:c>
      <x:c r="B54" s="15" t="str">
        <x:v>封面 / 可用造型选择与结果回访</x:v>
      </x:c>
      <x:c r="C54" s="15" t="str">
        <x:v>未独立点选，保留候选</x:v>
      </x:c>
      <x:c r="D54" s="15" t="str">
        <x:v>观众投票、配音二创邀请、合拍示范保留原方向，未明确执行。</x:v>
      </x:c>
      <x:c r="E54" s="15" t="str">
        <x:v>选用前落实可提供素材、参与方式与账号能力。</x:v>
      </x:c>
      <x:c r="F54" s="15" t="str">
        <x:v>如选做：集中预热/播出，结果随后回访</x:v>
      </x:c>
      <x:c r="G54" s="15" t="str">
        <x:v>B2 自己跳手势舞不等于 J5 发起合拍；K5 商务二创不等于 J4 面向观众邀请。</x:v>
      </x:c>
      <x:c r="H54" s="15" t="str">
        <x:v>42:35–43:04 仅 J 类泛谈；本项未单独决定</x:v>
      </x:c>
      <x:c r="I54" s="15" t="str">
        <x:v>未排入本轮</x:v>
      </x:c>
    </x:row>
    <x:row r="55" ht="116" customHeight="1">
      <x:c r="A55" s="18" t="str">
        <x:v>J4</x:v>
      </x:c>
      <x:c r="B55" s="18" t="str">
        <x:v>配音、接台词与二创素材包</x:v>
      </x:c>
      <x:c r="C55" s="18" t="str">
        <x:v>未独立点选，保留候选</x:v>
      </x:c>
      <x:c r="D55" s="18" t="str">
        <x:v>观众投票、配音二创邀请、合拍示范保留原方向，未明确执行。</x:v>
      </x:c>
      <x:c r="E55" s="18" t="str">
        <x:v>选用前落实可提供素材、参与方式与账号能力。</x:v>
      </x:c>
      <x:c r="F55" s="18" t="str">
        <x:v>如选做：集中预热/播出，结果随后回访</x:v>
      </x:c>
      <x:c r="G55" s="18" t="str">
        <x:v>B2 自己跳手势舞不等于 J5 发起合拍；K5 商务二创不等于 J4 面向观众邀请。</x:v>
      </x:c>
      <x:c r="H55" s="18" t="str">
        <x:v>42:35–43:04 仅 J 类泛谈；本项未单独决定</x:v>
      </x:c>
      <x:c r="I55" s="18" t="str">
        <x:v>未排入本轮</x:v>
      </x:c>
    </x:row>
    <x:row r="56" ht="116" customHeight="1">
      <x:c r="A56" s="15" t="str">
        <x:v>J5</x:v>
      </x:c>
      <x:c r="B56" s="15" t="str">
        <x:v>音乐 / 动作合拍示范</x:v>
      </x:c>
      <x:c r="C56" s="15" t="str">
        <x:v>未独立点选，保留候选</x:v>
      </x:c>
      <x:c r="D56" s="15" t="str">
        <x:v>观众投票、配音二创邀请、合拍示范保留原方向，未明确执行。</x:v>
      </x:c>
      <x:c r="E56" s="15" t="str">
        <x:v>选用前落实可提供素材、参与方式与账号能力。</x:v>
      </x:c>
      <x:c r="F56" s="15" t="str">
        <x:v>如选做：集中预热/播出，结果随后回访</x:v>
      </x:c>
      <x:c r="G56" s="15" t="str">
        <x:v>B2 自己跳手势舞不等于 J5 发起合拍；K5 商务二创不等于 J4 面向观众邀请。</x:v>
      </x:c>
      <x:c r="H56" s="15" t="str">
        <x:v>42:35–43:04 仅 J 类泛谈；本项未单独决定</x:v>
      </x:c>
      <x:c r="I56" s="15" t="str">
        <x:v>未排入本轮</x:v>
      </x:c>
    </x:row>
    <x:row r="57" ht="116" customHeight="1">
      <x:c r="A57" s="18" t="str">
        <x:v>J6</x:v>
      </x:c>
      <x:c r="B57" s="18" t="str">
        <x:v>回应观众问题与优秀二创</x:v>
      </x:c>
      <x:c r="C57" s="18" t="str">
        <x:v>会议具体建议</x:v>
      </x:c>
      <x:c r="D57" s="18" t="str">
        <x:v>围绕剧/角色/虚拟分身整理 Q&amp;A，用真人短视频或直播回应。</x:v>
      </x:c>
      <x:c r="E57" s="18" t="str">
        <x:v>整理真实问题，拍/录回答；直播回答可交切片池。</x:v>
      </x:c>
      <x:c r="F57" s="18" t="str">
        <x:v>分身介绍后及对应集播出间隔</x:v>
      </x:c>
      <x:c r="G57" s="18" t="str">
        <x:v>“优秀二创展示”未单独讨论；不要把 J6 都当已定。</x:v>
      </x:c>
      <x:c r="H57" s="18" t="str">
        <x:v>15:20；42:35–42:51</x:v>
      </x:c>
      <x:c r="I57" s="18" t="str">
        <x:v>yoyo真人小号：9/26
切片号：10/14、10/15</x:v>
      </x:c>
    </x:row>
    <x:row r="58" ht="116" customHeight="1">
      <x:c r="A58" s="15" t="str">
        <x:v>K1</x:v>
      </x:c>
      <x:c r="B58" s="15" t="str">
        <x:v>创作者探班与制作体验</x:v>
      </x:c>
      <x:c r="C58" s="15" t="str">
        <x:v>条件候选，未形成执行安排</x:v>
      </x:c>
      <x:c r="D58" s="15" t="str">
        <x:v>探班倡导、外部共创被泛提；合作对象和形式未定。</x:v>
      </x:c>
      <x:c r="E58" s="15" t="str">
        <x:v>有对象再定探访/共创内容、授权和交付。</x:v>
      </x:c>
      <x:c r="F58" s="15" t="str">
        <x:v>合作落实后放入集中期或播出期</x:v>
      </x:c>
      <x:c r="G58" s="15" t="str">
        <x:v>未谈定探班日期、达人或合作桥段。</x:v>
      </x:c>
      <x:c r="H58" s="15" t="str">
        <x:v>43:04–43:54</x:v>
      </x:c>
      <x:c r="I58" s="15" t="str">
        <x:v>未排入本轮</x:v>
      </x:c>
    </x:row>
    <x:row r="59" ht="116" customHeight="1">
      <x:c r="A59" s="18" t="str">
        <x:v>K2</x:v>
      </x:c>
      <x:c r="B59" s="18" t="str">
        <x:v>合作短桥段与同题共创</x:v>
      </x:c>
      <x:c r="C59" s="18" t="str">
        <x:v>条件候选，未形成执行安排</x:v>
      </x:c>
      <x:c r="D59" s="18" t="str">
        <x:v>探班倡导、外部共创被泛提；合作对象和形式未定。</x:v>
      </x:c>
      <x:c r="E59" s="18" t="str">
        <x:v>有对象再定探访/共创内容、授权和交付。</x:v>
      </x:c>
      <x:c r="F59" s="18" t="str">
        <x:v>合作落实后放入集中期或播出期</x:v>
      </x:c>
      <x:c r="G59" s="18" t="str">
        <x:v>未谈定探班日期、达人或合作桥段。</x:v>
      </x:c>
      <x:c r="H59" s="18" t="str">
        <x:v>43:04–43:54</x:v>
      </x:c>
      <x:c r="I59" s="18" t="str">
        <x:v>未排入本轮</x:v>
      </x:c>
    </x:row>
    <x:row r="60" ht="116" customHeight="1">
      <x:c r="A60" s="15" t="str">
        <x:v>K3</x:v>
      </x:c>
      <x:c r="B60" s="15" t="str">
        <x:v>品牌共创与联名内容</x:v>
      </x:c>
      <x:c r="C60" s="15" t="str">
        <x:v>会议创意建议，未签合作</x:v>
      </x:c>
      <x:c r="D60" s="15" t="str">
        <x:v>虚拟人服装、车、网球运动服等展示广告位的概念样片，可模拟商业内容。</x:v>
      </x:c>
      <x:c r="E60" s="15" t="str">
        <x:v>先做符合角色与视觉的商品情境，核对品牌名、素材和使用条件。</x:v>
      </x:c>
      <x:c r="F60" s="15" t="str">
        <x:v>IP 日常可做独立样片；入剧情的版本随公开进度</x:v>
      </x:c>
      <x:c r="G60" s="15" t="str">
        <x:v>“伪商单”理解为广告位示范，不宣传成已获品牌合作；品牌转写不清；带货矩阵仍有分歧。</x:v>
      </x:c>
      <x:c r="H60" s="15" t="str">
        <x:v>15:20–17:28；43:21–43:54</x:v>
      </x:c>
      <x:c r="I60" s="15" t="str">
        <x:v>yoyo矩阵号：9/18、9/21、9/24、9/26、9/30、10/12</x:v>
      </x:c>
    </x:row>
    <x:row r="61" ht="116" customHeight="1">
      <x:c r="A61" s="18" t="str">
        <x:v>K4</x:v>
      </x:c>
      <x:c r="B61" s="18" t="str">
        <x:v>实物周边样品与展示</x:v>
      </x:c>
      <x:c r="C61" s="18" t="str">
        <x:v>本次未讨论，条件储备</x:v>
      </x:c>
      <x:c r="D61" s="18" t="str">
        <x:v>实物周边继续保留原候选，不因提到服装/车就变为周边商品项目。</x:v>
      </x:c>
      <x:c r="E61" s="18" t="str">
        <x:v>有样品和实际合作后再做。</x:v>
      </x:c>
      <x:c r="F61" s="18" t="str">
        <x:v>待条件落实</x:v>
      </x:c>
      <x:c r="G61" s="18" t="str">
        <x:v>没有确定实物、库存、合作方和开售时间。</x:v>
      </x:c>
      <x:c r="H61" s="18" t="str">
        <x:v>本次无单项证据</x:v>
      </x:c>
      <x:c r="I61" s="18" t="str">
        <x:v>未排入本轮</x:v>
      </x:c>
    </x:row>
    <x:row r="62" ht="165" customHeight="1">
      <x:c r="A62" s="15" t="str">
        <x:v>K5</x:v>
      </x:c>
      <x:c r="B62" s="15" t="str">
        <x:v>AI 剧切片与二创合作包</x:v>
      </x:c>
      <x:c r="C62" s="15" t="str">
        <x:v>延续此前 BD；本次明确区分账号能力</x:v>
      </x:c>
      <x:c r="D62" s="15" t="str">
        <x:v>剧情高光/颜值/CP 二创给会做 AI 剧内容的账号；真人直播原料给现有直播切片手。</x:v>
      </x:c>
      <x:c r="E62" s="15" t="str">
        <x:v>备两种包：剧情授权片段包与直播带时间点原料包；各交对应能力团队。</x:v>
      </x:c>
      <x:c r="F62" s="15" t="str">
        <x:v>建池现在开始；剧情高光随集，直播切片随播后发</x:v>
      </x:c>
      <x:c r="G62" s="15" t="str">
        <x:v>500 个为此前规模设想；两种账号池不能混成同一批，也不为每号单独生成一条新片。</x:v>
      </x:c>
      <x:c r="H62" s="15" t="str">
        <x:v>04:27–05:34；19:55–20:05；43:54；此前 U51</x:v>
      </x:c>
      <x:c r="I62" s="15" t="str">
        <x:v>方舟智创：10/11
营销号：9/18、9/19、9/20、9/21、9/22、9/23、9/24、9/25、9/26、9/27、9/28、9/29、9/30、10/1、10/2、10/3、10/4、10/5、10/6、10/8、10/9、10/10、10/11、10/12、10/14、10/15
切片号：9/18、9/21、9/25、9/29、10/2、10/4、10/7、10/9、10/10、10/11、10/13、10/14、10/15</x:v>
      </x:c>
    </x:row>
  </x:sheetData>
  <x:pageMargins left="0.7" right="0.7" top="0.75" bottom="0.75" header="0.3" footer="0.3"/>
  <x:tableParts count="1">
    <x:tablePart xmlns:r="http://schemas.openxmlformats.org/officeDocument/2006/relationships" r:id="R43794f6f1f2c4d79"/>
  </x:tableParts>
</x:worksheet>
</file>